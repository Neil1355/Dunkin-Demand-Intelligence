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<sst xmlns="http://schemas.openxmlformats.org/spreadsheetml/2006/main" count="89" uniqueCount="54">
  <si>
    <t xml:space="preserve">Store PC# :                                                        Daily Throw Away Chart                       </t>
  </si>
  <si>
    <t>DATE:</t>
  </si>
  <si>
    <t>SUN</t>
  </si>
  <si>
    <t>MON</t>
  </si>
  <si>
    <t>TUE</t>
  </si>
  <si>
    <t>WED</t>
  </si>
  <si>
    <t>THU</t>
  </si>
  <si>
    <t>FRI</t>
  </si>
  <si>
    <t>SAT</t>
  </si>
  <si>
    <t>PM TTL</t>
  </si>
  <si>
    <t>AM</t>
  </si>
  <si>
    <t>PM</t>
  </si>
  <si>
    <t xml:space="preserve">Plain Croissants </t>
  </si>
  <si>
    <t>Bagels</t>
  </si>
  <si>
    <t>Plain</t>
  </si>
  <si>
    <t>Cinnamon Raisin</t>
  </si>
  <si>
    <t xml:space="preserve">Sesame </t>
  </si>
  <si>
    <t>Everything</t>
  </si>
  <si>
    <t>Multigrain</t>
  </si>
  <si>
    <t>Cheddar Twist</t>
  </si>
  <si>
    <t>Donuts</t>
  </si>
  <si>
    <t>Apple Crumb</t>
  </si>
  <si>
    <t>Blueberry Glazed</t>
  </si>
  <si>
    <t>Boston Kreme</t>
  </si>
  <si>
    <t>Choc Frosted Sprinkles</t>
  </si>
  <si>
    <t xml:space="preserve">Choc Frosted  </t>
  </si>
  <si>
    <t>Choc Glazed</t>
  </si>
  <si>
    <t>Double Choc Glazed</t>
  </si>
  <si>
    <t>French Cruller</t>
  </si>
  <si>
    <t>Glazed</t>
  </si>
  <si>
    <t>Golden Chocolate</t>
  </si>
  <si>
    <t>Jelly</t>
  </si>
  <si>
    <t>Kreme Delight</t>
  </si>
  <si>
    <t>Old Fashioned</t>
  </si>
  <si>
    <t>Straw Frosted Sprinkle</t>
  </si>
  <si>
    <t>Sugared</t>
  </si>
  <si>
    <t>Van Frosted Sprinkles</t>
  </si>
  <si>
    <t xml:space="preserve"> </t>
  </si>
  <si>
    <t xml:space="preserve">Tot PM Donut Throw </t>
  </si>
  <si>
    <t>Muffins</t>
  </si>
  <si>
    <t>Corn</t>
  </si>
  <si>
    <t>Blueberry</t>
  </si>
  <si>
    <t>Coffee Cake</t>
  </si>
  <si>
    <t>Chocolate Chip</t>
  </si>
  <si>
    <t>Fancies</t>
  </si>
  <si>
    <t>Coffee Roll</t>
  </si>
  <si>
    <t>Munchkins</t>
  </si>
  <si>
    <t>Chocolate Munchkin</t>
  </si>
  <si>
    <t>Glazed Munchkin</t>
  </si>
  <si>
    <t>Old Fashioned Munch</t>
  </si>
  <si>
    <t>Donuts Bought</t>
  </si>
  <si>
    <t>Donuts Sold</t>
  </si>
  <si>
    <t>Difference</t>
  </si>
  <si>
    <t>Throwaway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</si>
</sst>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u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14" applyNumberFormat="1" borderId="3" applyBorder="1" fontId="4" applyFont="1" fillId="0" applyAlignment="1">
      <alignment horizontal="left"/>
    </xf>
    <xf xfId="0" numFmtId="3" applyNumberFormat="1" borderId="4" applyBorder="1" fontId="4" applyFont="1" fillId="0" applyAlignment="1">
      <alignment horizontal="left"/>
    </xf>
    <xf xfId="0" numFmtId="3" applyNumberFormat="1" borderId="5" applyBorder="1" fontId="4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3" applyNumberFormat="1" borderId="4" applyBorder="1" fontId="3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2" applyBorder="1" fontId="5" applyFont="1" fillId="0" applyAlignment="1">
      <alignment horizontal="left"/>
    </xf>
    <xf xfId="0" numFmtId="3" applyNumberFormat="1" borderId="3" applyBorder="1" fontId="3" applyFont="1" fillId="0" applyAlignment="1">
      <alignment horizontal="left"/>
    </xf>
    <xf xfId="0" numFmtId="3" applyNumberFormat="1" borderId="2" applyBorder="1" fontId="3" applyFont="1" fillId="2" applyFill="1" applyAlignment="1">
      <alignment horizontal="right"/>
    </xf>
    <xf xfId="0" numFmtId="3" applyNumberFormat="1" borderId="2" applyBorder="1" fontId="3" applyFont="1" fillId="2" applyFill="1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6" applyBorder="1" fontId="3" applyFont="1" fillId="0" applyAlignment="1">
      <alignment horizontal="right"/>
    </xf>
    <xf xfId="0" numFmtId="0" borderId="2" applyBorder="1" fontId="6" applyFont="1" fillId="0" applyAlignment="1">
      <alignment horizontal="left"/>
    </xf>
    <xf xfId="0" numFmtId="3" applyNumberFormat="1" borderId="4" applyBorder="1" fontId="3" applyFont="1" fillId="0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3" applyNumberFormat="1" borderId="0" fontId="0" fillId="0" applyAlignment="1">
      <alignment horizontal="general"/>
    </xf>
    <xf xfId="0" numFmtId="0" borderId="2" applyBorder="1" fontId="7" applyFont="1" fillId="0" applyAlignment="1">
      <alignment horizontal="left"/>
    </xf>
    <xf xfId="0" numFmtId="3" applyNumberFormat="1" borderId="2" applyBorder="1" fontId="8" applyFont="1" fillId="2" applyFill="1" applyAlignment="1">
      <alignment horizontal="right"/>
    </xf>
    <xf xfId="0" numFmtId="3" applyNumberFormat="1" borderId="2" applyBorder="1" fontId="8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68"/>
  <sheetViews>
    <sheetView workbookViewId="0" tabSelected="1"/>
  </sheetViews>
  <sheetFormatPr defaultRowHeight="15" x14ac:dyDescent="0.25"/>
  <cols>
    <col min="1" max="1" style="31" width="20.005" customWidth="1" bestFit="1"/>
    <col min="2" max="2" style="32" width="6.719285714285714" customWidth="1" bestFit="1"/>
    <col min="3" max="3" style="33" width="6.719285714285714" customWidth="1" bestFit="1"/>
    <col min="4" max="4" style="32" width="6.719285714285714" customWidth="1" bestFit="1"/>
    <col min="5" max="5" style="33" width="6.719285714285714" customWidth="1" bestFit="1"/>
    <col min="6" max="6" style="32" width="6.719285714285714" customWidth="1" bestFit="1"/>
    <col min="7" max="7" style="33" width="6.719285714285714" customWidth="1" bestFit="1"/>
    <col min="8" max="8" style="32" width="6.719285714285714" customWidth="1" bestFit="1"/>
    <col min="9" max="9" style="33" width="6.719285714285714" customWidth="1" bestFit="1"/>
    <col min="10" max="10" style="32" width="6.719285714285714" customWidth="1" bestFit="1"/>
    <col min="11" max="11" style="33" width="6.719285714285714" customWidth="1" bestFit="1"/>
    <col min="12" max="12" style="32" width="6.719285714285714" customWidth="1" bestFit="1"/>
    <col min="13" max="13" style="33" width="6.719285714285714" customWidth="1" bestFit="1"/>
    <col min="14" max="14" style="32" width="6.719285714285714" customWidth="1" bestFit="1"/>
    <col min="15" max="15" style="33" width="6.719285714285714" customWidth="1" bestFit="1"/>
    <col min="16" max="16" style="33" width="13.576428571428572" customWidth="1" bestFit="1"/>
  </cols>
  <sheetData>
    <row x14ac:dyDescent="0.25" r="1" customHeight="1" ht="21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</row>
    <row x14ac:dyDescent="0.25" r="2" customHeight="1" ht="18.75">
      <c r="A2" s="4" t="s">
        <v>1</v>
      </c>
      <c r="B2" s="5">
        <v>46040</v>
      </c>
      <c r="C2" s="6"/>
      <c r="D2" s="5">
        <f>+B2+1</f>
        <v>25568.791666666668</v>
      </c>
      <c r="E2" s="6"/>
      <c r="F2" s="5">
        <f>+D2+1</f>
        <v>25568.791666666668</v>
      </c>
      <c r="G2" s="6"/>
      <c r="H2" s="5">
        <f>+F2+1</f>
        <v>25568.791666666668</v>
      </c>
      <c r="I2" s="6"/>
      <c r="J2" s="5">
        <f>+H2+1</f>
        <v>25568.791666666668</v>
      </c>
      <c r="K2" s="6"/>
      <c r="L2" s="5">
        <f>+J2+1</f>
        <v>25568.791666666668</v>
      </c>
      <c r="M2" s="6"/>
      <c r="N2" s="5">
        <f>+L2+1</f>
        <v>25568.791666666668</v>
      </c>
      <c r="O2" s="7"/>
      <c r="P2" s="8"/>
    </row>
    <row x14ac:dyDescent="0.25" r="3" customHeight="1" ht="18.75">
      <c r="A3" s="9"/>
      <c r="B3" s="10" t="s">
        <v>2</v>
      </c>
      <c r="C3" s="11"/>
      <c r="D3" s="10" t="s">
        <v>3</v>
      </c>
      <c r="E3" s="11"/>
      <c r="F3" s="10" t="s">
        <v>4</v>
      </c>
      <c r="G3" s="11"/>
      <c r="H3" s="10" t="s">
        <v>5</v>
      </c>
      <c r="I3" s="12"/>
      <c r="J3" s="13" t="s">
        <v>6</v>
      </c>
      <c r="K3" s="14"/>
      <c r="L3" s="13" t="s">
        <v>7</v>
      </c>
      <c r="M3" s="14"/>
      <c r="N3" s="13" t="s">
        <v>8</v>
      </c>
      <c r="O3" s="10"/>
      <c r="P3" s="13" t="s">
        <v>9</v>
      </c>
    </row>
    <row x14ac:dyDescent="0.25" r="4" customHeight="1" ht="18.75">
      <c r="A4" s="15"/>
      <c r="B4" s="16" t="s">
        <v>10</v>
      </c>
      <c r="C4" s="16" t="s">
        <v>11</v>
      </c>
      <c r="D4" s="16" t="s">
        <v>10</v>
      </c>
      <c r="E4" s="16" t="s">
        <v>11</v>
      </c>
      <c r="F4" s="16" t="s">
        <v>10</v>
      </c>
      <c r="G4" s="16" t="s">
        <v>11</v>
      </c>
      <c r="H4" s="16" t="s">
        <v>10</v>
      </c>
      <c r="I4" s="16" t="s">
        <v>11</v>
      </c>
      <c r="J4" s="16" t="s">
        <v>10</v>
      </c>
      <c r="K4" s="16" t="s">
        <v>11</v>
      </c>
      <c r="L4" s="16" t="s">
        <v>10</v>
      </c>
      <c r="M4" s="16" t="s">
        <v>11</v>
      </c>
      <c r="N4" s="16" t="s">
        <v>10</v>
      </c>
      <c r="O4" s="16" t="s">
        <v>11</v>
      </c>
      <c r="P4" s="8"/>
    </row>
    <row x14ac:dyDescent="0.25" r="5" customHeight="1" ht="18.75">
      <c r="A5" s="17" t="s">
        <v>12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8"/>
      <c r="P5" s="19">
        <f>+C5+E5+G5+I5+K5+M5+O5</f>
      </c>
    </row>
    <row x14ac:dyDescent="0.25" r="6" customHeight="1" ht="18.75">
      <c r="A6" s="17" t="s">
        <v>13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18"/>
      <c r="P6" s="19">
        <f>+C6+E6+G6+I6+K6+M6+O6</f>
      </c>
    </row>
    <row x14ac:dyDescent="0.25" r="7" customHeight="1" ht="18.75">
      <c r="A7" s="15" t="s">
        <v>14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8"/>
      <c r="P7" s="19">
        <f>+C7+E7+G7+I7+K7+M7+O7</f>
      </c>
    </row>
    <row x14ac:dyDescent="0.25" r="8" customHeight="1" ht="18.75">
      <c r="A8" s="15" t="s">
        <v>15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8"/>
      <c r="P8" s="19">
        <f>+C8+E8+G8+I8+K8+M8+O8</f>
      </c>
    </row>
    <row x14ac:dyDescent="0.25" r="9" customHeight="1" ht="18.75">
      <c r="A9" s="15" t="s">
        <v>16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8"/>
      <c r="P9" s="19">
        <f>+C9+E9+G9+I9+K9+M9+O9</f>
      </c>
    </row>
    <row x14ac:dyDescent="0.25" r="10" customHeight="1" ht="18.75">
      <c r="A10" s="15" t="s">
        <v>17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8"/>
      <c r="P10" s="19">
        <f>+C10+E10+G10+I10+K10+M10+O10</f>
      </c>
    </row>
    <row x14ac:dyDescent="0.25" r="11" customHeight="1" ht="18.75">
      <c r="A11" s="15" t="s">
        <v>18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8"/>
      <c r="P11" s="19">
        <f>+C11+E11+G11+I11+K11+M11+O11</f>
      </c>
    </row>
    <row x14ac:dyDescent="0.25" r="12" customHeight="1" ht="18.75">
      <c r="A12" s="15" t="s">
        <v>19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8"/>
      <c r="P12" s="19">
        <f>+C12+E12+G12+I12+K12+M12+O12</f>
      </c>
    </row>
    <row x14ac:dyDescent="0.25" r="13" customHeight="1" ht="18.75">
      <c r="A13" s="15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8"/>
      <c r="P13" s="20"/>
    </row>
    <row x14ac:dyDescent="0.25" r="14" customHeight="1" ht="18.75">
      <c r="A14" s="15"/>
      <c r="B14" s="10"/>
      <c r="C14" s="11"/>
      <c r="D14" s="10"/>
      <c r="E14" s="11"/>
      <c r="F14" s="10"/>
      <c r="G14" s="11"/>
      <c r="H14" s="10"/>
      <c r="I14" s="12"/>
      <c r="J14" s="13"/>
      <c r="K14" s="14"/>
      <c r="L14" s="13"/>
      <c r="M14" s="14"/>
      <c r="N14" s="13"/>
      <c r="O14" s="10"/>
      <c r="P14" s="20"/>
    </row>
    <row x14ac:dyDescent="0.25" r="15" customHeight="1" ht="18.75">
      <c r="A15" s="17" t="s">
        <v>20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0"/>
    </row>
    <row x14ac:dyDescent="0.25" r="16" customHeight="1" ht="18.75">
      <c r="A16" s="1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8"/>
      <c r="P16" s="19">
        <f>+C16+E16+H16+I16+K16+M16+O16</f>
      </c>
    </row>
    <row x14ac:dyDescent="0.25" r="17" customHeight="1" ht="18.75">
      <c r="A17" s="15" t="s">
        <v>21</v>
      </c>
      <c r="B17" s="21">
        <v>6</v>
      </c>
      <c r="C17" s="21">
        <v>3</v>
      </c>
      <c r="D17" s="21">
        <v>6</v>
      </c>
      <c r="E17" s="21">
        <v>2</v>
      </c>
      <c r="F17" s="21">
        <v>6</v>
      </c>
      <c r="G17" s="21">
        <v>3</v>
      </c>
      <c r="H17" s="21">
        <v>6</v>
      </c>
      <c r="I17" s="21">
        <v>5</v>
      </c>
      <c r="J17" s="21">
        <v>6</v>
      </c>
      <c r="K17" s="21">
        <v>2</v>
      </c>
      <c r="L17" s="21">
        <v>6</v>
      </c>
      <c r="M17" s="21">
        <v>0</v>
      </c>
      <c r="N17" s="21">
        <v>6</v>
      </c>
      <c r="O17" s="22">
        <v>3</v>
      </c>
      <c r="P17" s="19">
        <f>+C17+E17+H17+I17+K17+M17+O17</f>
      </c>
    </row>
    <row x14ac:dyDescent="0.25" r="18" customHeight="1" ht="18.75">
      <c r="A18" s="15" t="s">
        <v>22</v>
      </c>
      <c r="B18" s="21">
        <v>9</v>
      </c>
      <c r="C18" s="21">
        <v>2</v>
      </c>
      <c r="D18" s="21">
        <v>6</v>
      </c>
      <c r="E18" s="21">
        <v>2</v>
      </c>
      <c r="F18" s="21">
        <v>6</v>
      </c>
      <c r="G18" s="21">
        <v>5</v>
      </c>
      <c r="H18" s="21">
        <v>6</v>
      </c>
      <c r="I18" s="21">
        <v>0</v>
      </c>
      <c r="J18" s="21">
        <v>6</v>
      </c>
      <c r="K18" s="21">
        <v>0</v>
      </c>
      <c r="L18" s="21">
        <v>9</v>
      </c>
      <c r="M18" s="21">
        <v>0</v>
      </c>
      <c r="N18" s="21">
        <v>9</v>
      </c>
      <c r="O18" s="22">
        <v>0</v>
      </c>
      <c r="P18" s="19">
        <f>+C18+E18+H18+I18+K18+M18+O18</f>
      </c>
    </row>
    <row x14ac:dyDescent="0.25" r="19" customHeight="1" ht="18.75">
      <c r="A19" s="15" t="s">
        <v>23</v>
      </c>
      <c r="B19" s="21">
        <v>24</v>
      </c>
      <c r="C19" s="21">
        <v>6</v>
      </c>
      <c r="D19" s="21">
        <v>12</v>
      </c>
      <c r="E19" s="21">
        <v>0</v>
      </c>
      <c r="F19" s="21">
        <v>18</v>
      </c>
      <c r="G19" s="21">
        <v>3</v>
      </c>
      <c r="H19" s="21">
        <v>18</v>
      </c>
      <c r="I19" s="21">
        <v>0</v>
      </c>
      <c r="J19" s="21">
        <v>12</v>
      </c>
      <c r="K19" s="21">
        <v>0</v>
      </c>
      <c r="L19" s="21">
        <v>30</v>
      </c>
      <c r="M19" s="21">
        <v>4</v>
      </c>
      <c r="N19" s="21">
        <v>30</v>
      </c>
      <c r="O19" s="22">
        <v>9</v>
      </c>
      <c r="P19" s="19">
        <f>+C19+E19+H19+I19+K19+M19+O19</f>
      </c>
    </row>
    <row x14ac:dyDescent="0.25" r="20" customHeight="1" ht="18.75">
      <c r="A20" s="15" t="s">
        <v>24</v>
      </c>
      <c r="B20" s="21">
        <v>36</v>
      </c>
      <c r="C20" s="21">
        <v>11</v>
      </c>
      <c r="D20" s="21">
        <v>18</v>
      </c>
      <c r="E20" s="21">
        <v>0</v>
      </c>
      <c r="F20" s="21">
        <v>24</v>
      </c>
      <c r="G20" s="21">
        <v>15</v>
      </c>
      <c r="H20" s="21">
        <v>24</v>
      </c>
      <c r="I20" s="21">
        <v>8</v>
      </c>
      <c r="J20" s="21">
        <v>18</v>
      </c>
      <c r="K20" s="21">
        <v>0</v>
      </c>
      <c r="L20" s="21">
        <v>42</v>
      </c>
      <c r="M20" s="21">
        <v>9</v>
      </c>
      <c r="N20" s="21">
        <v>42</v>
      </c>
      <c r="O20" s="22">
        <v>13</v>
      </c>
      <c r="P20" s="19">
        <f>+C20+E20+H20+I20+K20+M20+O20</f>
      </c>
    </row>
    <row x14ac:dyDescent="0.25" r="21" customHeight="1" ht="18.75">
      <c r="A21" s="15" t="s">
        <v>25</v>
      </c>
      <c r="B21" s="21">
        <v>12</v>
      </c>
      <c r="C21" s="21">
        <v>5</v>
      </c>
      <c r="D21" s="21">
        <v>12</v>
      </c>
      <c r="E21" s="21">
        <v>0</v>
      </c>
      <c r="F21" s="21">
        <v>12</v>
      </c>
      <c r="G21" s="21">
        <v>8</v>
      </c>
      <c r="H21" s="21">
        <v>12</v>
      </c>
      <c r="I21" s="21">
        <v>2</v>
      </c>
      <c r="J21" s="21">
        <v>12</v>
      </c>
      <c r="K21" s="21">
        <v>3</v>
      </c>
      <c r="L21" s="21">
        <v>12</v>
      </c>
      <c r="M21" s="21">
        <v>2</v>
      </c>
      <c r="N21" s="21">
        <v>12</v>
      </c>
      <c r="O21" s="22">
        <v>0</v>
      </c>
      <c r="P21" s="19">
        <f>+C21+E21+H21+I21+K21+M21+O21</f>
      </c>
    </row>
    <row x14ac:dyDescent="0.25" r="22" customHeight="1" ht="19.5">
      <c r="A22" s="15" t="s">
        <v>26</v>
      </c>
      <c r="B22" s="21">
        <v>12</v>
      </c>
      <c r="C22" s="21">
        <v>0</v>
      </c>
      <c r="D22" s="21">
        <v>12</v>
      </c>
      <c r="E22" s="21">
        <v>2</v>
      </c>
      <c r="F22" s="21">
        <v>12</v>
      </c>
      <c r="G22" s="21">
        <v>5</v>
      </c>
      <c r="H22" s="21">
        <v>12</v>
      </c>
      <c r="I22" s="21">
        <v>2</v>
      </c>
      <c r="J22" s="21">
        <v>12</v>
      </c>
      <c r="K22" s="21">
        <v>3</v>
      </c>
      <c r="L22" s="21">
        <v>12</v>
      </c>
      <c r="M22" s="21">
        <v>2</v>
      </c>
      <c r="N22" s="21">
        <v>12</v>
      </c>
      <c r="O22" s="22">
        <v>3</v>
      </c>
      <c r="P22" s="19">
        <f>+C22+E22+H22+I22+K22+M22+O22</f>
      </c>
    </row>
    <row x14ac:dyDescent="0.25" r="23" customHeight="1" ht="18.75">
      <c r="A23" s="15" t="s">
        <v>27</v>
      </c>
      <c r="B23" s="21">
        <v>9</v>
      </c>
      <c r="C23" s="21">
        <v>8</v>
      </c>
      <c r="D23" s="21">
        <v>6</v>
      </c>
      <c r="E23" s="21">
        <v>0</v>
      </c>
      <c r="F23" s="21">
        <v>6</v>
      </c>
      <c r="G23" s="23">
        <v>0</v>
      </c>
      <c r="H23" s="21">
        <v>6</v>
      </c>
      <c r="I23" s="21">
        <v>4</v>
      </c>
      <c r="J23" s="21">
        <v>6</v>
      </c>
      <c r="K23" s="21">
        <v>0</v>
      </c>
      <c r="L23" s="21">
        <v>9</v>
      </c>
      <c r="M23" s="21">
        <v>4</v>
      </c>
      <c r="N23" s="21">
        <v>9</v>
      </c>
      <c r="O23" s="22">
        <v>1</v>
      </c>
      <c r="P23" s="19">
        <f>+C23+E23+H23+I23+K23+M23+O23</f>
      </c>
    </row>
    <row x14ac:dyDescent="0.25" r="24" customHeight="1" ht="18.75" hidden="1">
      <c r="A24" s="1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8"/>
      <c r="P24" s="19">
        <f>+C24+E24+G24+I24+K24+M24+O24</f>
      </c>
    </row>
    <row x14ac:dyDescent="0.25" r="25" customHeight="1" ht="18.75">
      <c r="A25" s="15" t="s">
        <v>28</v>
      </c>
      <c r="B25" s="21">
        <v>12</v>
      </c>
      <c r="C25" s="21">
        <v>3</v>
      </c>
      <c r="D25" s="21">
        <v>9</v>
      </c>
      <c r="E25" s="21">
        <v>5</v>
      </c>
      <c r="F25" s="21">
        <v>12</v>
      </c>
      <c r="G25" s="21">
        <v>8</v>
      </c>
      <c r="H25" s="21">
        <v>12</v>
      </c>
      <c r="I25" s="21">
        <v>4</v>
      </c>
      <c r="J25" s="21">
        <v>12</v>
      </c>
      <c r="K25" s="21">
        <v>0</v>
      </c>
      <c r="L25" s="21">
        <v>18</v>
      </c>
      <c r="M25" s="21">
        <v>6</v>
      </c>
      <c r="N25" s="21">
        <v>18</v>
      </c>
      <c r="O25" s="22">
        <v>2</v>
      </c>
      <c r="P25" s="19">
        <f>+C25+E25+G25+I25+K25+M25+O25</f>
      </c>
    </row>
    <row x14ac:dyDescent="0.25" r="26" customHeight="1" ht="18.75">
      <c r="A26" s="15" t="s">
        <v>29</v>
      </c>
      <c r="B26" s="21">
        <v>42</v>
      </c>
      <c r="C26" s="21">
        <v>6</v>
      </c>
      <c r="D26" s="21">
        <v>30</v>
      </c>
      <c r="E26" s="21">
        <v>4</v>
      </c>
      <c r="F26" s="21">
        <v>36</v>
      </c>
      <c r="G26" s="21">
        <v>1</v>
      </c>
      <c r="H26" s="21">
        <v>36</v>
      </c>
      <c r="I26" s="21">
        <v>0</v>
      </c>
      <c r="J26" s="21">
        <v>30</v>
      </c>
      <c r="K26" s="21">
        <v>0</v>
      </c>
      <c r="L26" s="21">
        <v>54</v>
      </c>
      <c r="M26" s="21">
        <v>9</v>
      </c>
      <c r="N26" s="21">
        <v>54</v>
      </c>
      <c r="O26" s="22">
        <v>19</v>
      </c>
      <c r="P26" s="19">
        <v>0</v>
      </c>
    </row>
    <row x14ac:dyDescent="0.25" r="27" customHeight="1" ht="18.75">
      <c r="A27" s="15" t="s">
        <v>30</v>
      </c>
      <c r="B27" s="21">
        <v>12</v>
      </c>
      <c r="C27" s="21">
        <v>11</v>
      </c>
      <c r="D27" s="21">
        <v>12</v>
      </c>
      <c r="E27" s="21">
        <v>8</v>
      </c>
      <c r="F27" s="21">
        <v>12</v>
      </c>
      <c r="G27" s="21">
        <v>9</v>
      </c>
      <c r="H27" s="21">
        <v>12</v>
      </c>
      <c r="I27" s="21">
        <v>11</v>
      </c>
      <c r="J27" s="21">
        <v>12</v>
      </c>
      <c r="K27" s="21">
        <v>9</v>
      </c>
      <c r="L27" s="21">
        <v>12</v>
      </c>
      <c r="M27" s="21">
        <v>9</v>
      </c>
      <c r="N27" s="21">
        <v>12</v>
      </c>
      <c r="O27" s="22">
        <v>8</v>
      </c>
      <c r="P27" s="19">
        <f>+C27+E27+G27+I27+K27+M27+O27</f>
      </c>
    </row>
    <row x14ac:dyDescent="0.25" r="28" customHeight="1" ht="18.75">
      <c r="A28" s="15" t="s">
        <v>31</v>
      </c>
      <c r="B28" s="21">
        <v>18</v>
      </c>
      <c r="C28" s="21">
        <v>4</v>
      </c>
      <c r="D28" s="21">
        <v>18</v>
      </c>
      <c r="E28" s="21">
        <v>2</v>
      </c>
      <c r="F28" s="21">
        <v>18</v>
      </c>
      <c r="G28" s="21">
        <v>5</v>
      </c>
      <c r="H28" s="21">
        <v>18</v>
      </c>
      <c r="I28" s="21">
        <v>4</v>
      </c>
      <c r="J28" s="21">
        <v>12</v>
      </c>
      <c r="K28" s="21">
        <v>0</v>
      </c>
      <c r="L28" s="21">
        <v>24</v>
      </c>
      <c r="M28" s="21">
        <v>1</v>
      </c>
      <c r="N28" s="21">
        <v>24</v>
      </c>
      <c r="O28" s="22">
        <v>6</v>
      </c>
      <c r="P28" s="19">
        <f>+C28+E28+G28+I28+K28+M28+O28</f>
      </c>
    </row>
    <row x14ac:dyDescent="0.25" r="29" customHeight="1" ht="18.75">
      <c r="A29" s="15" t="s">
        <v>32</v>
      </c>
      <c r="B29" s="21">
        <v>12</v>
      </c>
      <c r="C29" s="21">
        <v>6</v>
      </c>
      <c r="D29" s="21">
        <v>12</v>
      </c>
      <c r="E29" s="21">
        <v>0</v>
      </c>
      <c r="F29" s="21">
        <v>12</v>
      </c>
      <c r="G29" s="21">
        <v>8</v>
      </c>
      <c r="H29" s="21">
        <v>12</v>
      </c>
      <c r="I29" s="21">
        <v>3</v>
      </c>
      <c r="J29" s="21">
        <v>12</v>
      </c>
      <c r="K29" s="21">
        <v>2</v>
      </c>
      <c r="L29" s="21">
        <v>12</v>
      </c>
      <c r="M29" s="21">
        <v>2</v>
      </c>
      <c r="N29" s="21">
        <v>12</v>
      </c>
      <c r="O29" s="21">
        <v>4</v>
      </c>
      <c r="P29" s="19">
        <f>+C29+E29+G29+I29+K29+M29+O29</f>
      </c>
    </row>
    <row x14ac:dyDescent="0.25" r="30" customHeight="1" ht="18.75">
      <c r="A30" s="15" t="s">
        <v>33</v>
      </c>
      <c r="B30" s="21">
        <v>24</v>
      </c>
      <c r="C30" s="21">
        <v>2</v>
      </c>
      <c r="D30" s="21">
        <v>18</v>
      </c>
      <c r="E30" s="21">
        <v>5</v>
      </c>
      <c r="F30" s="21">
        <v>24</v>
      </c>
      <c r="G30" s="21">
        <v>7</v>
      </c>
      <c r="H30" s="21">
        <v>18</v>
      </c>
      <c r="I30" s="22">
        <v>0</v>
      </c>
      <c r="J30" s="21">
        <v>24</v>
      </c>
      <c r="K30" s="21">
        <v>3</v>
      </c>
      <c r="L30" s="21">
        <v>24</v>
      </c>
      <c r="M30" s="21">
        <v>7</v>
      </c>
      <c r="N30" s="21">
        <v>18</v>
      </c>
      <c r="O30" s="21">
        <v>0</v>
      </c>
      <c r="P30" s="19">
        <f>+C30+E30+G30+I30+K30+M30+O30</f>
      </c>
    </row>
    <row x14ac:dyDescent="0.25" r="31" customHeight="1" ht="18.75">
      <c r="A31" s="24" t="s">
        <v>34</v>
      </c>
      <c r="B31" s="21">
        <v>36</v>
      </c>
      <c r="C31" s="21">
        <v>13</v>
      </c>
      <c r="D31" s="21">
        <v>24</v>
      </c>
      <c r="E31" s="21">
        <v>0</v>
      </c>
      <c r="F31" s="21">
        <v>36</v>
      </c>
      <c r="G31" s="21">
        <v>8</v>
      </c>
      <c r="H31" s="21">
        <v>36</v>
      </c>
      <c r="I31" s="21">
        <v>0</v>
      </c>
      <c r="J31" s="21">
        <v>30</v>
      </c>
      <c r="K31" s="21">
        <v>0</v>
      </c>
      <c r="L31" s="21">
        <v>42</v>
      </c>
      <c r="M31" s="21">
        <v>3</v>
      </c>
      <c r="N31" s="21">
        <v>48</v>
      </c>
      <c r="O31" s="21">
        <v>6</v>
      </c>
      <c r="P31" s="19">
        <f>+C31+E31+G31+I31+K31+M31+O31</f>
      </c>
    </row>
    <row x14ac:dyDescent="0.25" r="32" customHeight="1" ht="18.75">
      <c r="A32" s="15" t="s">
        <v>35</v>
      </c>
      <c r="B32" s="21">
        <v>12</v>
      </c>
      <c r="C32" s="21">
        <v>3</v>
      </c>
      <c r="D32" s="21">
        <v>12</v>
      </c>
      <c r="E32" s="21">
        <v>7</v>
      </c>
      <c r="F32" s="21">
        <v>12</v>
      </c>
      <c r="G32" s="21">
        <v>9</v>
      </c>
      <c r="H32" s="21">
        <v>12</v>
      </c>
      <c r="I32" s="21">
        <v>3</v>
      </c>
      <c r="J32" s="21">
        <v>12</v>
      </c>
      <c r="K32" s="21">
        <v>6</v>
      </c>
      <c r="L32" s="21">
        <v>12</v>
      </c>
      <c r="M32" s="21">
        <v>5</v>
      </c>
      <c r="N32" s="21">
        <v>12</v>
      </c>
      <c r="O32" s="21">
        <v>3</v>
      </c>
      <c r="P32" s="19">
        <f>+C32+E32+G32+I32+K32+M32+O32</f>
      </c>
    </row>
    <row x14ac:dyDescent="0.25" r="33" customHeight="1" ht="18.75">
      <c r="A33" s="15" t="s">
        <v>36</v>
      </c>
      <c r="B33" s="21">
        <v>18</v>
      </c>
      <c r="C33" s="21">
        <v>6</v>
      </c>
      <c r="D33" s="21">
        <v>12</v>
      </c>
      <c r="E33" s="21">
        <v>0</v>
      </c>
      <c r="F33" s="21">
        <v>18</v>
      </c>
      <c r="G33" s="21">
        <v>12</v>
      </c>
      <c r="H33" s="21">
        <v>18</v>
      </c>
      <c r="I33" s="21">
        <v>5</v>
      </c>
      <c r="J33" s="21">
        <v>12</v>
      </c>
      <c r="K33" s="21">
        <v>2</v>
      </c>
      <c r="L33" s="21">
        <v>18</v>
      </c>
      <c r="M33" s="21">
        <v>3</v>
      </c>
      <c r="N33" s="21">
        <v>18</v>
      </c>
      <c r="O33" s="21">
        <v>0</v>
      </c>
      <c r="P33" s="19">
        <f>+C33+E33+G33+I33+K33+M33+O33</f>
      </c>
    </row>
    <row x14ac:dyDescent="0.25" r="34" customHeight="1" ht="18.75">
      <c r="A34" s="24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19">
        <f>+C34+E34+G34+I34+K34+M34+O34</f>
      </c>
    </row>
    <row x14ac:dyDescent="0.25" r="35" customHeight="1" ht="18.75">
      <c r="A35" s="24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19">
        <f>+C35+E35+G35+I35+K35+M35+O35</f>
      </c>
    </row>
    <row x14ac:dyDescent="0.25" r="36" customHeight="1" ht="18.75">
      <c r="A36" s="2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19">
        <f>+C36+E36+G36+I36+K36+M36+O36</f>
      </c>
    </row>
    <row x14ac:dyDescent="0.25" r="37" customHeight="1" ht="18.75">
      <c r="A37" s="24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19">
        <f>+C37+E37+G37+I37+K37+M37+O37</f>
      </c>
    </row>
    <row x14ac:dyDescent="0.25" r="38" customHeight="1" ht="18.75">
      <c r="A38" s="24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19">
        <f>+C38+E38+G38+I38+K38+M38+O38</f>
      </c>
    </row>
    <row x14ac:dyDescent="0.25" r="39" customHeight="1" ht="18.75">
      <c r="A39" s="24"/>
      <c r="B39" s="8"/>
      <c r="C39" s="8"/>
      <c r="D39" s="8"/>
      <c r="E39" s="8"/>
      <c r="F39" s="8"/>
      <c r="G39" s="8"/>
      <c r="H39" s="8"/>
      <c r="I39" s="8"/>
      <c r="J39" s="8"/>
      <c r="K39" s="8" t="s">
        <v>37</v>
      </c>
      <c r="L39" s="8"/>
      <c r="M39" s="8"/>
      <c r="N39" s="8"/>
      <c r="O39" s="8"/>
      <c r="P39" s="20">
        <f>+C39+E39+G39+I39+K39+M39+O39</f>
      </c>
    </row>
    <row x14ac:dyDescent="0.25" r="40" customHeight="1" ht="18.75">
      <c r="A40" s="1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19">
        <f>+C40+E40+G40+I40+K40+M40+O40</f>
      </c>
    </row>
    <row x14ac:dyDescent="0.25" r="41" customHeight="1" ht="18.75">
      <c r="A41" s="4" t="s">
        <v>38</v>
      </c>
      <c r="B41" s="19">
        <f>SUM(B16:B40)</f>
      </c>
      <c r="C41" s="19">
        <f>SUM(C16:C40)</f>
      </c>
      <c r="D41" s="19">
        <f>SUM(D16:D40)</f>
      </c>
      <c r="E41" s="19">
        <f>SUM(E16:E40)</f>
      </c>
      <c r="F41" s="19">
        <f>SUM(F16:F40)</f>
      </c>
      <c r="G41" s="19">
        <f>SUM(G16:G40)</f>
      </c>
      <c r="H41" s="19">
        <f>SUM(H16:H40)</f>
      </c>
      <c r="I41" s="19">
        <f>SUM(I16:I40)</f>
      </c>
      <c r="J41" s="19">
        <f>SUM(J16:J40)</f>
      </c>
      <c r="K41" s="19">
        <f>SUM(K16:K40)</f>
      </c>
      <c r="L41" s="19">
        <f>SUM(L16:L40)</f>
      </c>
      <c r="M41" s="19">
        <f>SUM(M16:M40)</f>
      </c>
      <c r="N41" s="19">
        <f>SUM(N16:N40)</f>
      </c>
      <c r="O41" s="19">
        <f>SUM(O16:O40)</f>
      </c>
      <c r="P41" s="20">
        <f>SUM(P16:P40)</f>
      </c>
    </row>
    <row x14ac:dyDescent="0.25" r="42" customHeight="1" ht="18.75">
      <c r="A42" s="4"/>
      <c r="B42" s="18"/>
      <c r="C42" s="25"/>
      <c r="D42" s="18"/>
      <c r="E42" s="25"/>
      <c r="F42" s="18"/>
      <c r="G42" s="25"/>
      <c r="H42" s="18"/>
      <c r="I42" s="25"/>
      <c r="J42" s="18"/>
      <c r="K42" s="25"/>
      <c r="L42" s="18"/>
      <c r="M42" s="25"/>
      <c r="N42" s="18"/>
      <c r="O42" s="25"/>
      <c r="P42" s="8"/>
    </row>
    <row x14ac:dyDescent="0.25" r="43" customHeight="1" ht="18.75">
      <c r="A43" s="4"/>
      <c r="B43" s="18"/>
      <c r="C43" s="25"/>
      <c r="D43" s="18"/>
      <c r="E43" s="25"/>
      <c r="F43" s="18"/>
      <c r="G43" s="25"/>
      <c r="H43" s="18"/>
      <c r="I43" s="25"/>
      <c r="J43" s="18"/>
      <c r="K43" s="25"/>
      <c r="L43" s="18"/>
      <c r="M43" s="25"/>
      <c r="N43" s="18"/>
      <c r="O43" s="25"/>
      <c r="P43" s="8"/>
    </row>
    <row x14ac:dyDescent="0.25" r="44" customHeight="1" ht="18.75">
      <c r="A44" s="15"/>
      <c r="B44" s="10" t="s">
        <v>2</v>
      </c>
      <c r="C44" s="12"/>
      <c r="D44" s="10" t="s">
        <v>3</v>
      </c>
      <c r="E44" s="12"/>
      <c r="F44" s="10" t="s">
        <v>4</v>
      </c>
      <c r="G44" s="12"/>
      <c r="H44" s="10" t="s">
        <v>5</v>
      </c>
      <c r="I44" s="12"/>
      <c r="J44" s="10" t="s">
        <v>6</v>
      </c>
      <c r="K44" s="12"/>
      <c r="L44" s="10" t="s">
        <v>7</v>
      </c>
      <c r="M44" s="12"/>
      <c r="N44" s="10" t="s">
        <v>8</v>
      </c>
      <c r="O44" s="12"/>
      <c r="P44" s="26" t="s">
        <v>9</v>
      </c>
    </row>
    <row x14ac:dyDescent="0.25" r="45" customHeight="1" ht="18.75">
      <c r="A45" s="4"/>
      <c r="B45" s="16" t="s">
        <v>10</v>
      </c>
      <c r="C45" s="16" t="s">
        <v>11</v>
      </c>
      <c r="D45" s="16" t="s">
        <v>10</v>
      </c>
      <c r="E45" s="16" t="s">
        <v>11</v>
      </c>
      <c r="F45" s="16" t="s">
        <v>10</v>
      </c>
      <c r="G45" s="16" t="s">
        <v>11</v>
      </c>
      <c r="H45" s="16" t="s">
        <v>10</v>
      </c>
      <c r="I45" s="16" t="s">
        <v>11</v>
      </c>
      <c r="J45" s="16" t="s">
        <v>10</v>
      </c>
      <c r="K45" s="16" t="s">
        <v>11</v>
      </c>
      <c r="L45" s="16" t="s">
        <v>10</v>
      </c>
      <c r="M45" s="16" t="s">
        <v>11</v>
      </c>
      <c r="N45" s="16" t="s">
        <v>10</v>
      </c>
      <c r="O45" s="16" t="s">
        <v>11</v>
      </c>
      <c r="P45" s="20"/>
    </row>
    <row x14ac:dyDescent="0.25" r="46" customHeight="1" ht="18.75">
      <c r="A46" s="17" t="s">
        <v>39</v>
      </c>
      <c r="B46" s="8"/>
      <c r="C46" s="8"/>
      <c r="D46" s="8"/>
      <c r="E46" s="8"/>
      <c r="F46" s="8"/>
      <c r="G46" s="8"/>
      <c r="H46" s="8"/>
      <c r="I46" s="18"/>
      <c r="J46" s="8"/>
      <c r="K46" s="8"/>
      <c r="L46" s="8"/>
      <c r="M46" s="8"/>
      <c r="N46" s="8"/>
      <c r="O46" s="8"/>
      <c r="P46" s="20"/>
    </row>
    <row x14ac:dyDescent="0.25" r="47" customHeight="1" ht="18.75">
      <c r="A47" s="15" t="s">
        <v>40</v>
      </c>
      <c r="B47" s="27"/>
      <c r="C47" s="8"/>
      <c r="D47" s="8"/>
      <c r="E47" s="8"/>
      <c r="F47" s="8"/>
      <c r="G47" s="8"/>
      <c r="H47" s="8"/>
      <c r="I47" s="18"/>
      <c r="J47" s="8"/>
      <c r="K47" s="8"/>
      <c r="L47" s="8"/>
      <c r="M47" s="8"/>
      <c r="N47" s="8"/>
      <c r="O47" s="8"/>
      <c r="P47" s="19">
        <f>+C47+E47+G47+I47+K47+M47+O47</f>
      </c>
    </row>
    <row x14ac:dyDescent="0.25" r="48" customHeight="1" ht="18.75">
      <c r="A48" s="15" t="s">
        <v>41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19">
        <f>+C48+E48+G48+I48+K48+M48+O48</f>
      </c>
    </row>
    <row x14ac:dyDescent="0.25" r="49" customHeight="1" ht="18.75">
      <c r="A49" s="15" t="s">
        <v>42</v>
      </c>
      <c r="B49" s="8"/>
      <c r="C49" s="8"/>
      <c r="D49" s="8"/>
      <c r="E49" s="8"/>
      <c r="F49" s="8"/>
      <c r="G49" s="8"/>
      <c r="H49" s="8"/>
      <c r="I49" s="18"/>
      <c r="J49" s="8"/>
      <c r="K49" s="8"/>
      <c r="L49" s="8"/>
      <c r="M49" s="8"/>
      <c r="N49" s="8"/>
      <c r="O49" s="8"/>
      <c r="P49" s="19">
        <f>+C49+E49+G49+I49+K49+M49+O49</f>
      </c>
    </row>
    <row x14ac:dyDescent="0.25" r="50" customHeight="1" ht="15">
      <c r="A50" s="15" t="s">
        <v>43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19">
        <f>+C50+E50+G50+I50+K50+M50+O50</f>
      </c>
    </row>
    <row x14ac:dyDescent="0.25" r="51" customHeight="1" ht="14.25">
      <c r="A51" s="1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19">
        <f>+C51+E51+G51+I51+K51+M51+O51</f>
      </c>
    </row>
    <row x14ac:dyDescent="0.25" r="52" customHeight="1" ht="16.5">
      <c r="A52" s="1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19">
        <f>+C52+E52+G52+I52+K52+M52+O52</f>
      </c>
    </row>
    <row x14ac:dyDescent="0.25" r="53" customHeight="1" ht="15.75">
      <c r="A53" s="4" t="s">
        <v>44</v>
      </c>
      <c r="B53" s="8"/>
      <c r="C53" s="8"/>
      <c r="D53" s="8"/>
      <c r="E53" s="8"/>
      <c r="F53" s="8"/>
      <c r="G53" s="8"/>
      <c r="H53" s="8"/>
      <c r="I53" s="18"/>
      <c r="J53" s="8"/>
      <c r="K53" s="8"/>
      <c r="L53" s="8"/>
      <c r="M53" s="8"/>
      <c r="N53" s="8"/>
      <c r="O53" s="8"/>
      <c r="P53" s="20"/>
    </row>
    <row x14ac:dyDescent="0.25" r="54" customHeight="1" ht="15">
      <c r="A54" s="28" t="s">
        <v>45</v>
      </c>
      <c r="B54" s="21">
        <v>6</v>
      </c>
      <c r="C54" s="21">
        <v>1</v>
      </c>
      <c r="D54" s="21">
        <v>6</v>
      </c>
      <c r="E54" s="21">
        <v>2</v>
      </c>
      <c r="F54" s="21">
        <v>9</v>
      </c>
      <c r="G54" s="21">
        <v>1</v>
      </c>
      <c r="H54" s="21">
        <v>9</v>
      </c>
      <c r="I54" s="22">
        <v>2</v>
      </c>
      <c r="J54" s="21">
        <v>9</v>
      </c>
      <c r="K54" s="21">
        <v>5</v>
      </c>
      <c r="L54" s="21">
        <v>9</v>
      </c>
      <c r="M54" s="21">
        <v>5</v>
      </c>
      <c r="N54" s="21">
        <v>9</v>
      </c>
      <c r="O54" s="21">
        <v>2</v>
      </c>
      <c r="P54" s="19">
        <f>+C54+E54+G54+I54+K54+M54+O54</f>
      </c>
    </row>
    <row x14ac:dyDescent="0.25" r="55" customHeight="1" ht="16.5">
      <c r="A55" s="24"/>
      <c r="B55" s="8"/>
      <c r="C55" s="8"/>
      <c r="D55" s="8"/>
      <c r="E55" s="8"/>
      <c r="F55" s="8"/>
      <c r="G55" s="8"/>
      <c r="H55" s="8"/>
      <c r="I55" s="18"/>
      <c r="J55" s="8"/>
      <c r="K55" s="8"/>
      <c r="L55" s="8"/>
      <c r="M55" s="8"/>
      <c r="N55" s="8"/>
      <c r="O55" s="8"/>
      <c r="P55" s="19">
        <f>+C55+E55+G55+I55+K55+M55+O55</f>
      </c>
    </row>
    <row x14ac:dyDescent="0.25" r="56" customHeight="1" ht="16.5">
      <c r="A56" s="24"/>
      <c r="B56" s="8"/>
      <c r="C56" s="8"/>
      <c r="D56" s="8"/>
      <c r="E56" s="8"/>
      <c r="F56" s="8"/>
      <c r="G56" s="8"/>
      <c r="H56" s="8"/>
      <c r="I56" s="18"/>
      <c r="J56" s="8"/>
      <c r="K56" s="8"/>
      <c r="L56" s="8"/>
      <c r="M56" s="8"/>
      <c r="N56" s="8"/>
      <c r="O56" s="8"/>
      <c r="P56" s="19">
        <f>+C56+E56+G56+I56+K56+M56+O56</f>
      </c>
    </row>
    <row x14ac:dyDescent="0.25" r="57" customHeight="1" ht="15.75">
      <c r="A57" s="28"/>
      <c r="B57" s="8"/>
      <c r="C57" s="8"/>
      <c r="D57" s="8"/>
      <c r="E57" s="8"/>
      <c r="F57" s="8"/>
      <c r="G57" s="8"/>
      <c r="H57" s="8"/>
      <c r="I57" s="18"/>
      <c r="J57" s="8"/>
      <c r="K57" s="8"/>
      <c r="L57" s="8"/>
      <c r="M57" s="8"/>
      <c r="N57" s="8"/>
      <c r="O57" s="8"/>
      <c r="P57" s="19">
        <f>+C57+E57+G57+I57+K57+M57+O57</f>
      </c>
    </row>
    <row x14ac:dyDescent="0.25" r="58" customHeight="1" ht="18">
      <c r="A58" s="17" t="s">
        <v>46</v>
      </c>
      <c r="B58" s="8"/>
      <c r="C58" s="8"/>
      <c r="D58" s="8"/>
      <c r="E58" s="8"/>
      <c r="F58" s="8"/>
      <c r="G58" s="8"/>
      <c r="H58" s="8"/>
      <c r="I58" s="18"/>
      <c r="J58" s="8"/>
      <c r="K58" s="8"/>
      <c r="L58" s="8"/>
      <c r="M58" s="8"/>
      <c r="N58" s="8"/>
      <c r="O58" s="8"/>
      <c r="P58" s="19">
        <f>+C58+E58+G58+I58+K58+M58+O58</f>
      </c>
    </row>
    <row x14ac:dyDescent="0.25" r="59" customHeight="1" ht="18.75">
      <c r="A59" s="15" t="s">
        <v>47</v>
      </c>
      <c r="B59" s="21">
        <v>120</v>
      </c>
      <c r="C59" s="21">
        <v>76</v>
      </c>
      <c r="D59" s="21">
        <v>60</v>
      </c>
      <c r="E59" s="21">
        <v>20</v>
      </c>
      <c r="F59" s="21">
        <v>60</v>
      </c>
      <c r="G59" s="21">
        <v>20</v>
      </c>
      <c r="H59" s="21">
        <v>60</v>
      </c>
      <c r="I59" s="22">
        <v>49</v>
      </c>
      <c r="J59" s="21">
        <v>60</v>
      </c>
      <c r="K59" s="21">
        <v>0</v>
      </c>
      <c r="L59" s="21">
        <v>120</v>
      </c>
      <c r="M59" s="21">
        <v>21</v>
      </c>
      <c r="N59" s="21">
        <v>120</v>
      </c>
      <c r="O59" s="21">
        <v>0</v>
      </c>
      <c r="P59" s="19">
        <f>+C59+E59+G59+I59+K59+M59+O59</f>
      </c>
    </row>
    <row x14ac:dyDescent="0.25" r="60" customHeight="1" ht="18.75">
      <c r="A60" s="15" t="s">
        <v>48</v>
      </c>
      <c r="B60" s="21">
        <v>120</v>
      </c>
      <c r="C60" s="21">
        <v>67</v>
      </c>
      <c r="D60" s="21">
        <v>60</v>
      </c>
      <c r="E60" s="21">
        <v>36</v>
      </c>
      <c r="F60" s="21">
        <v>60</v>
      </c>
      <c r="G60" s="21">
        <v>22</v>
      </c>
      <c r="H60" s="21">
        <v>60</v>
      </c>
      <c r="I60" s="22">
        <v>46</v>
      </c>
      <c r="J60" s="21">
        <v>120</v>
      </c>
      <c r="K60" s="21">
        <v>26</v>
      </c>
      <c r="L60" s="21">
        <v>180</v>
      </c>
      <c r="M60" s="21">
        <v>38</v>
      </c>
      <c r="N60" s="21">
        <v>120</v>
      </c>
      <c r="O60" s="21">
        <v>72</v>
      </c>
      <c r="P60" s="19">
        <f>+C60+E60+G60+I60+K60+M60+O60</f>
      </c>
    </row>
    <row x14ac:dyDescent="0.25" r="61" customHeight="1" ht="18.75">
      <c r="A61" s="15" t="s">
        <v>49</v>
      </c>
      <c r="B61" s="21">
        <v>60</v>
      </c>
      <c r="C61" s="21">
        <v>72</v>
      </c>
      <c r="D61" s="21">
        <v>60</v>
      </c>
      <c r="E61" s="21">
        <v>50</v>
      </c>
      <c r="F61" s="21">
        <v>60</v>
      </c>
      <c r="G61" s="21">
        <v>25</v>
      </c>
      <c r="H61" s="21">
        <v>60</v>
      </c>
      <c r="I61" s="22">
        <v>51</v>
      </c>
      <c r="J61" s="21">
        <v>60</v>
      </c>
      <c r="K61" s="21">
        <v>8</v>
      </c>
      <c r="L61" s="21">
        <v>120</v>
      </c>
      <c r="M61" s="21">
        <v>27</v>
      </c>
      <c r="N61" s="21">
        <v>120</v>
      </c>
      <c r="O61" s="21">
        <v>64</v>
      </c>
      <c r="P61" s="19">
        <f>+C61+E61+G61+I61+K61+M61+O61</f>
      </c>
    </row>
    <row x14ac:dyDescent="0.25" r="62" customHeight="1" ht="18.75">
      <c r="A62" s="15"/>
      <c r="B62" s="8"/>
      <c r="C62" s="8"/>
      <c r="D62" s="8"/>
      <c r="E62" s="8"/>
      <c r="F62" s="8"/>
      <c r="G62" s="8"/>
      <c r="H62" s="8"/>
      <c r="I62" s="18"/>
      <c r="J62" s="8"/>
      <c r="K62" s="8"/>
      <c r="L62" s="8"/>
      <c r="M62" s="8"/>
      <c r="N62" s="8"/>
      <c r="O62" s="8"/>
      <c r="P62" s="19">
        <f>+C62+E62+G62+I62+K62+M62+O62</f>
      </c>
    </row>
    <row x14ac:dyDescent="0.25" r="63" customHeight="1" ht="18.75">
      <c r="A63" s="24"/>
      <c r="B63" s="8"/>
      <c r="C63" s="8" t="s">
        <v>37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0">
        <f>+C63+E63+G63+I63+K63+M63+O63</f>
      </c>
    </row>
    <row x14ac:dyDescent="0.25" r="64" customHeight="1" ht="18.75">
      <c r="A64" s="15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0"/>
    </row>
    <row x14ac:dyDescent="0.25" r="65" customHeight="1" ht="18.75">
      <c r="A65" s="4" t="s">
        <v>50</v>
      </c>
      <c r="B65" s="22">
        <v>294</v>
      </c>
      <c r="C65" s="25"/>
      <c r="D65" s="22">
        <v>219</v>
      </c>
      <c r="E65" s="25"/>
      <c r="F65" s="22">
        <v>264</v>
      </c>
      <c r="G65" s="25"/>
      <c r="H65" s="22">
        <v>258</v>
      </c>
      <c r="I65" s="25"/>
      <c r="J65" s="22">
        <v>228</v>
      </c>
      <c r="K65" s="25"/>
      <c r="L65" s="22">
        <v>336</v>
      </c>
      <c r="M65" s="25"/>
      <c r="N65" s="22">
        <v>336</v>
      </c>
      <c r="O65" s="25"/>
      <c r="P65" s="19">
        <f>SUM(B65:O65)</f>
      </c>
    </row>
    <row x14ac:dyDescent="0.25" r="66" customHeight="1" ht="18.75">
      <c r="A66" s="4" t="s">
        <v>51</v>
      </c>
      <c r="B66" s="22">
        <v>204</v>
      </c>
      <c r="C66" s="25"/>
      <c r="D66" s="22">
        <v>172</v>
      </c>
      <c r="E66" s="25"/>
      <c r="F66" s="22">
        <v>154</v>
      </c>
      <c r="G66" s="25"/>
      <c r="H66" s="22">
        <v>203</v>
      </c>
      <c r="I66" s="25"/>
      <c r="J66" s="22">
        <v>198</v>
      </c>
      <c r="K66" s="25"/>
      <c r="L66" s="22">
        <v>267</v>
      </c>
      <c r="M66" s="25"/>
      <c r="N66" s="22">
        <v>254</v>
      </c>
      <c r="O66" s="25"/>
      <c r="P66" s="19">
        <f>SUM(B66:O66)</f>
      </c>
    </row>
    <row x14ac:dyDescent="0.25" r="67" customHeight="1" ht="18.75">
      <c r="A67" s="4" t="s">
        <v>52</v>
      </c>
      <c r="B67" s="29">
        <f>B65-B66</f>
      </c>
      <c r="C67" s="30"/>
      <c r="D67" s="29">
        <f>D65-D66</f>
      </c>
      <c r="E67" s="30"/>
      <c r="F67" s="29">
        <f>F65-F66</f>
      </c>
      <c r="G67" s="30"/>
      <c r="H67" s="29">
        <f>H65-H66</f>
      </c>
      <c r="I67" s="30"/>
      <c r="J67" s="29">
        <f>J65-J66</f>
      </c>
      <c r="K67" s="30"/>
      <c r="L67" s="29">
        <f>L65-L66</f>
      </c>
      <c r="M67" s="30"/>
      <c r="N67" s="29">
        <f>N65-N66</f>
      </c>
      <c r="O67" s="30"/>
      <c r="P67" s="29">
        <f>SUM(B67:O67)</f>
      </c>
    </row>
    <row x14ac:dyDescent="0.25" r="68" customHeight="1" ht="18.75">
      <c r="A68" s="4" t="s">
        <v>53</v>
      </c>
      <c r="B68" s="30"/>
      <c r="C68" s="29">
        <f>C41</f>
      </c>
      <c r="D68" s="30"/>
      <c r="E68" s="29">
        <f>E41</f>
      </c>
      <c r="F68" s="30"/>
      <c r="G68" s="29">
        <f>G41</f>
      </c>
      <c r="H68" s="30"/>
      <c r="I68" s="29">
        <f>I41</f>
      </c>
      <c r="J68" s="30"/>
      <c r="K68" s="29">
        <f>K41</f>
      </c>
      <c r="L68" s="30"/>
      <c r="M68" s="29">
        <f>M41</f>
      </c>
      <c r="N68" s="30"/>
      <c r="O68" s="29">
        <f>O41</f>
      </c>
      <c r="P68" s="29">
        <f>SUM(B68:O68)</f>
      </c>
    </row>
  </sheetData>
  <mergeCells count="50">
    <mergeCell ref="A1:P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14:C14"/>
    <mergeCell ref="D14:E14"/>
    <mergeCell ref="F14:G14"/>
    <mergeCell ref="H14:I14"/>
    <mergeCell ref="J14:K14"/>
    <mergeCell ref="L14:M14"/>
    <mergeCell ref="N14:O14"/>
    <mergeCell ref="B44:C44"/>
    <mergeCell ref="D44:E44"/>
    <mergeCell ref="F44:G44"/>
    <mergeCell ref="H44:I44"/>
    <mergeCell ref="J44:K44"/>
    <mergeCell ref="L44:M44"/>
    <mergeCell ref="N44:O44"/>
    <mergeCell ref="B65:C65"/>
    <mergeCell ref="D65:E65"/>
    <mergeCell ref="F65:G65"/>
    <mergeCell ref="H65:I65"/>
    <mergeCell ref="J65:K65"/>
    <mergeCell ref="L65:M65"/>
    <mergeCell ref="N65:O65"/>
    <mergeCell ref="B66:C66"/>
    <mergeCell ref="D66:E66"/>
    <mergeCell ref="F66:G66"/>
    <mergeCell ref="H66:I66"/>
    <mergeCell ref="J66:K66"/>
    <mergeCell ref="L66:M66"/>
    <mergeCell ref="N66:O66"/>
    <mergeCell ref="B67:C67"/>
    <mergeCell ref="D67:E67"/>
    <mergeCell ref="F67:G67"/>
    <mergeCell ref="H67:I67"/>
    <mergeCell ref="J67:K67"/>
    <mergeCell ref="L67:M67"/>
    <mergeCell ref="N67:O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2026-03-08T05:10:58.905Z</dcterms:created>
  <dcterms:modified xsi:type="dcterms:W3CDTF">2026-03-08T05:10:58.905Z</dcterms:modified>
</cp:coreProperties>
</file>