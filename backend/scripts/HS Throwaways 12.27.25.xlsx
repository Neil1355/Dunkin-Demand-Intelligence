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new\Desktop\"/>
    </mc:Choice>
  </mc:AlternateContent>
  <xr:revisionPtr revIDLastSave="0" documentId="13_ncr:1_{8620E60A-8BEB-44A0-9EB9-8E3F5A74C70D}" xr6:coauthVersionLast="47" xr6:coauthVersionMax="47" xr10:uidLastSave="{00000000-0000-0000-0000-000000000000}"/>
  <bookViews>
    <workbookView xWindow="0" yWindow="600" windowWidth="14400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1" i="1" l="1"/>
  <c r="D41" i="1"/>
  <c r="M41" i="1"/>
  <c r="K41" i="1"/>
  <c r="B67" i="1"/>
  <c r="P24" i="1"/>
  <c r="P25" i="1"/>
  <c r="P63" i="1"/>
  <c r="B41" i="1" l="1"/>
  <c r="P30" i="1" l="1"/>
  <c r="P28" i="1"/>
  <c r="F67" i="1"/>
  <c r="D67" i="1"/>
  <c r="N67" i="1"/>
  <c r="L67" i="1"/>
  <c r="J67" i="1"/>
  <c r="H67" i="1"/>
  <c r="P19" i="1"/>
  <c r="P20" i="1"/>
  <c r="P39" i="1"/>
  <c r="P36" i="1"/>
  <c r="P35" i="1"/>
  <c r="P34" i="1"/>
  <c r="P62" i="1"/>
  <c r="P61" i="1"/>
  <c r="P60" i="1"/>
  <c r="P59" i="1"/>
  <c r="P58" i="1"/>
  <c r="P57" i="1"/>
  <c r="P56" i="1"/>
  <c r="P55" i="1"/>
  <c r="P54" i="1"/>
  <c r="P52" i="1"/>
  <c r="P51" i="1"/>
  <c r="P50" i="1"/>
  <c r="P49" i="1"/>
  <c r="P48" i="1"/>
  <c r="P47" i="1"/>
  <c r="P12" i="1"/>
  <c r="P11" i="1"/>
  <c r="P10" i="1"/>
  <c r="P9" i="1"/>
  <c r="P8" i="1"/>
  <c r="P7" i="1"/>
  <c r="P6" i="1"/>
  <c r="P5" i="1"/>
  <c r="P40" i="1"/>
  <c r="P37" i="1"/>
  <c r="P38" i="1"/>
  <c r="P33" i="1"/>
  <c r="P66" i="1"/>
  <c r="P65" i="1"/>
  <c r="P16" i="1"/>
  <c r="P17" i="1"/>
  <c r="P18" i="1"/>
  <c r="P21" i="1"/>
  <c r="P22" i="1"/>
  <c r="P23" i="1"/>
  <c r="P27" i="1"/>
  <c r="P29" i="1"/>
  <c r="P31" i="1"/>
  <c r="P32" i="1"/>
  <c r="D2" i="1"/>
  <c r="F2" i="1" s="1"/>
  <c r="H2" i="1" s="1"/>
  <c r="J2" i="1" s="1"/>
  <c r="L2" i="1" s="1"/>
  <c r="N2" i="1" s="1"/>
  <c r="P67" i="1" l="1"/>
  <c r="C41" i="1"/>
  <c r="C68" i="1" s="1"/>
  <c r="P41" i="1"/>
  <c r="H41" i="1"/>
  <c r="L41" i="1"/>
  <c r="K68" i="1"/>
  <c r="E41" i="1"/>
  <c r="E68" i="1" s="1"/>
  <c r="I41" i="1"/>
  <c r="I68" i="1" s="1"/>
  <c r="N41" i="1"/>
  <c r="G41" i="1"/>
  <c r="G68" i="1" s="1"/>
  <c r="F41" i="1"/>
  <c r="O41" i="1"/>
  <c r="O68" i="1" s="1"/>
  <c r="M68" i="1"/>
  <c r="P68" i="1" l="1"/>
</calcChain>
</file>

<file path=xl/sharedStrings.xml><?xml version="1.0" encoding="utf-8"?>
<sst xmlns="http://schemas.openxmlformats.org/spreadsheetml/2006/main" count="92" uniqueCount="57">
  <si>
    <t xml:space="preserve">Plain Croissants </t>
  </si>
  <si>
    <t>Bagels</t>
  </si>
  <si>
    <t>Plain</t>
  </si>
  <si>
    <t>Cinnamon Raisin</t>
  </si>
  <si>
    <t>Everything</t>
  </si>
  <si>
    <t>Donuts</t>
  </si>
  <si>
    <t>Boston Kreme</t>
  </si>
  <si>
    <t>Apple Crumb</t>
  </si>
  <si>
    <t>Old Fashioned</t>
  </si>
  <si>
    <t>Muffins</t>
  </si>
  <si>
    <t>Corn</t>
  </si>
  <si>
    <t>Fancies</t>
  </si>
  <si>
    <t>Munchkins</t>
  </si>
  <si>
    <t>MON</t>
  </si>
  <si>
    <t>TUE</t>
  </si>
  <si>
    <t>WED</t>
  </si>
  <si>
    <t>THU</t>
  </si>
  <si>
    <t>FRI</t>
  </si>
  <si>
    <t>SAT</t>
  </si>
  <si>
    <t>SUN</t>
  </si>
  <si>
    <t>AM</t>
  </si>
  <si>
    <t>PM</t>
  </si>
  <si>
    <t>Chocolate Chip</t>
  </si>
  <si>
    <t>DATE:</t>
  </si>
  <si>
    <t xml:space="preserve">Tot PM Donut Throw </t>
  </si>
  <si>
    <t>PM TTL</t>
  </si>
  <si>
    <t xml:space="preserve">Sesame </t>
  </si>
  <si>
    <t>Multigrain</t>
  </si>
  <si>
    <t>Cheddar Twist</t>
  </si>
  <si>
    <t>French Cruller</t>
  </si>
  <si>
    <t>Donuts Bought</t>
  </si>
  <si>
    <t>Donuts Sold</t>
  </si>
  <si>
    <t>Difference</t>
  </si>
  <si>
    <t xml:space="preserve">Store PC# :                                                        Daily Throw Away Chart                       </t>
  </si>
  <si>
    <t>Throwaway</t>
  </si>
  <si>
    <t>Blueberry Glazed</t>
  </si>
  <si>
    <t>Choc Frosted Sprinkles</t>
  </si>
  <si>
    <t>Jelly</t>
  </si>
  <si>
    <t>Straw Frosted Sprinkle</t>
  </si>
  <si>
    <t>Van Frosted Sprinkles</t>
  </si>
  <si>
    <t>Coffee Roll</t>
  </si>
  <si>
    <t>Chocolate Munchkin</t>
  </si>
  <si>
    <t>Glazed Munchkin</t>
  </si>
  <si>
    <t>Old Fashioned Munch</t>
  </si>
  <si>
    <t>Glazed</t>
  </si>
  <si>
    <t>Blueberry</t>
  </si>
  <si>
    <t>Coffee Cake</t>
  </si>
  <si>
    <t xml:space="preserve"> </t>
  </si>
  <si>
    <t xml:space="preserve">Choc Frosted  </t>
  </si>
  <si>
    <t>Choc Glazed</t>
  </si>
  <si>
    <t>Double Choc Glazed</t>
  </si>
  <si>
    <t>Kreme Delight</t>
  </si>
  <si>
    <t>Sugared</t>
  </si>
  <si>
    <t>Holiday Spinkle Munch</t>
  </si>
  <si>
    <t>Holiday Lights</t>
  </si>
  <si>
    <t>Holiday Tree</t>
  </si>
  <si>
    <t>Winter Snowman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</si>
</sst>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0" fillId="0" borderId="5" xfId="0" applyBorder="1"/>
    <xf numFmtId="0" fontId="0" fillId="0" borderId="6" xfId="0" applyBorder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7" fillId="2" borderId="1" xfId="0" applyFont="1" applyFill="1" applyBorder="1"/>
    <xf numFmtId="0" fontId="0" fillId="0" borderId="5" xfId="0" applyBorder="1" applyAlignment="1">
      <alignment horizontal="center"/>
    </xf>
    <xf numFmtId="14" fontId="1" fillId="0" borderId="2" xfId="0" applyNumberFormat="1" applyFont="1" applyBorder="1"/>
    <xf numFmtId="0" fontId="1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34" zoomScale="94" zoomScaleNormal="94" workbookViewId="0">
      <selection activeCell="N67" sqref="N67:O67"/>
    </sheetView>
  </sheetViews>
  <sheetFormatPr defaultRowHeight="12.75" x14ac:dyDescent="0.2"/>
  <cols>
    <col min="1" max="1" width="20" customWidth="1"/>
    <col min="2" max="15" width="6.7109375" customWidth="1"/>
  </cols>
  <sheetData>
    <row r="1" spans="1:16" ht="21.95" customHeight="1" x14ac:dyDescent="0.25">
      <c r="A1" s="22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4"/>
      <c r="M1" s="24"/>
      <c r="N1" s="24"/>
      <c r="O1" s="24"/>
      <c r="P1" s="24"/>
    </row>
    <row r="2" spans="1:16" x14ac:dyDescent="0.2">
      <c r="A2" s="2" t="s">
        <v>23</v>
      </c>
      <c r="B2" s="20">
        <v>46012</v>
      </c>
      <c r="C2" s="27"/>
      <c r="D2" s="20">
        <f>+B2+1</f>
        <v>46013</v>
      </c>
      <c r="E2" s="27"/>
      <c r="F2" s="20">
        <f>+D2+1</f>
        <v>46014</v>
      </c>
      <c r="G2" s="27"/>
      <c r="H2" s="20">
        <f>+F2+1</f>
        <v>46015</v>
      </c>
      <c r="I2" s="27"/>
      <c r="J2" s="20">
        <f>+H2+1</f>
        <v>46016</v>
      </c>
      <c r="K2" s="27"/>
      <c r="L2" s="20">
        <f>+J2+1</f>
        <v>46017</v>
      </c>
      <c r="M2" s="27"/>
      <c r="N2" s="20">
        <f>+L2+1</f>
        <v>46018</v>
      </c>
      <c r="O2" s="21"/>
      <c r="P2" s="1"/>
    </row>
    <row r="3" spans="1:16" s="4" customFormat="1" x14ac:dyDescent="0.2">
      <c r="A3" s="3"/>
      <c r="B3" s="14" t="s">
        <v>19</v>
      </c>
      <c r="C3" s="19"/>
      <c r="D3" s="14" t="s">
        <v>13</v>
      </c>
      <c r="E3" s="19"/>
      <c r="F3" s="14" t="s">
        <v>14</v>
      </c>
      <c r="G3" s="19"/>
      <c r="H3" s="14" t="s">
        <v>15</v>
      </c>
      <c r="I3" s="15"/>
      <c r="J3" s="25" t="s">
        <v>16</v>
      </c>
      <c r="K3" s="26"/>
      <c r="L3" s="25" t="s">
        <v>17</v>
      </c>
      <c r="M3" s="26"/>
      <c r="N3" s="25" t="s">
        <v>18</v>
      </c>
      <c r="O3" s="14"/>
      <c r="P3" s="3" t="s">
        <v>25</v>
      </c>
    </row>
    <row r="4" spans="1:16" x14ac:dyDescent="0.2">
      <c r="A4" s="1"/>
      <c r="B4" s="2" t="s">
        <v>20</v>
      </c>
      <c r="C4" s="2" t="s">
        <v>21</v>
      </c>
      <c r="D4" s="2" t="s">
        <v>20</v>
      </c>
      <c r="E4" s="2" t="s">
        <v>21</v>
      </c>
      <c r="F4" s="2" t="s">
        <v>20</v>
      </c>
      <c r="G4" s="2" t="s">
        <v>21</v>
      </c>
      <c r="H4" s="2" t="s">
        <v>20</v>
      </c>
      <c r="I4" s="2" t="s">
        <v>21</v>
      </c>
      <c r="J4" s="2" t="s">
        <v>20</v>
      </c>
      <c r="K4" s="2" t="s">
        <v>21</v>
      </c>
      <c r="L4" s="2" t="s">
        <v>20</v>
      </c>
      <c r="M4" s="2" t="s">
        <v>21</v>
      </c>
      <c r="N4" s="2" t="s">
        <v>20</v>
      </c>
      <c r="O4" s="2" t="s">
        <v>21</v>
      </c>
      <c r="P4" s="1"/>
    </row>
    <row r="5" spans="1:16" ht="15" x14ac:dyDescent="0.25">
      <c r="A5" s="6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/>
      <c r="P5" s="9">
        <f t="shared" ref="P5:P12" si="0">+C5+E5+G5+I5+K5+M5+O5</f>
        <v>0</v>
      </c>
    </row>
    <row r="6" spans="1:16" ht="15" x14ac:dyDescent="0.25">
      <c r="A6" s="6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/>
      <c r="P6" s="9">
        <f t="shared" si="0"/>
        <v>0</v>
      </c>
    </row>
    <row r="7" spans="1:16" x14ac:dyDescent="0.2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9">
        <f t="shared" si="0"/>
        <v>0</v>
      </c>
    </row>
    <row r="8" spans="1:16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9">
        <f t="shared" si="0"/>
        <v>0</v>
      </c>
    </row>
    <row r="9" spans="1:16" x14ac:dyDescent="0.2">
      <c r="A9" s="1" t="s">
        <v>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9">
        <f t="shared" si="0"/>
        <v>0</v>
      </c>
    </row>
    <row r="10" spans="1:16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9">
        <f t="shared" si="0"/>
        <v>0</v>
      </c>
    </row>
    <row r="11" spans="1:16" x14ac:dyDescent="0.2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9">
        <f t="shared" si="0"/>
        <v>0</v>
      </c>
    </row>
    <row r="12" spans="1:16" x14ac:dyDescent="0.2">
      <c r="A12" s="1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9">
        <f t="shared" si="0"/>
        <v>0</v>
      </c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9"/>
    </row>
    <row r="14" spans="1:16" x14ac:dyDescent="0.2">
      <c r="A14" s="1"/>
      <c r="B14" s="14"/>
      <c r="C14" s="19"/>
      <c r="D14" s="14"/>
      <c r="E14" s="19"/>
      <c r="F14" s="14"/>
      <c r="G14" s="19"/>
      <c r="H14" s="14"/>
      <c r="I14" s="15"/>
      <c r="J14" s="25"/>
      <c r="K14" s="26"/>
      <c r="L14" s="25"/>
      <c r="M14" s="26"/>
      <c r="N14" s="25"/>
      <c r="O14" s="14"/>
      <c r="P14" s="9"/>
    </row>
    <row r="15" spans="1:16" ht="15" x14ac:dyDescent="0.25">
      <c r="A15" s="6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9">
        <f t="shared" ref="P16:P23" si="1">+C16+E16+H16+I16+K16+M16+O16</f>
        <v>0</v>
      </c>
    </row>
    <row r="17" spans="1:16" x14ac:dyDescent="0.2">
      <c r="A17" s="1" t="s">
        <v>7</v>
      </c>
      <c r="B17" s="1">
        <v>9</v>
      </c>
      <c r="C17" s="1">
        <v>7</v>
      </c>
      <c r="D17" s="1">
        <v>9</v>
      </c>
      <c r="E17" s="1">
        <v>1</v>
      </c>
      <c r="F17" s="1">
        <v>12</v>
      </c>
      <c r="G17" s="1">
        <v>4</v>
      </c>
      <c r="H17" s="1">
        <v>12</v>
      </c>
      <c r="I17" s="1">
        <v>7</v>
      </c>
      <c r="J17" s="1">
        <v>12</v>
      </c>
      <c r="K17" s="1">
        <v>3</v>
      </c>
      <c r="L17" s="1">
        <v>6</v>
      </c>
      <c r="M17" s="1">
        <v>2</v>
      </c>
      <c r="N17" s="1">
        <v>6</v>
      </c>
      <c r="O17" s="5">
        <v>3</v>
      </c>
      <c r="P17" s="9">
        <f t="shared" si="1"/>
        <v>35</v>
      </c>
    </row>
    <row r="18" spans="1:16" x14ac:dyDescent="0.2">
      <c r="A18" s="1" t="s">
        <v>35</v>
      </c>
      <c r="B18" s="1">
        <v>12</v>
      </c>
      <c r="C18" s="1">
        <v>0</v>
      </c>
      <c r="D18" s="1">
        <v>12</v>
      </c>
      <c r="E18" s="1">
        <v>3</v>
      </c>
      <c r="F18" s="1">
        <v>12</v>
      </c>
      <c r="G18" s="1">
        <v>0</v>
      </c>
      <c r="H18" s="1">
        <v>12</v>
      </c>
      <c r="I18" s="1">
        <v>7</v>
      </c>
      <c r="J18" s="1">
        <v>12</v>
      </c>
      <c r="K18" s="1">
        <v>0</v>
      </c>
      <c r="L18" s="1">
        <v>9</v>
      </c>
      <c r="M18" s="1">
        <v>0</v>
      </c>
      <c r="N18" s="1">
        <v>9</v>
      </c>
      <c r="O18" s="5">
        <v>1</v>
      </c>
      <c r="P18" s="9">
        <f t="shared" si="1"/>
        <v>23</v>
      </c>
    </row>
    <row r="19" spans="1:16" x14ac:dyDescent="0.2">
      <c r="A19" s="1" t="s">
        <v>6</v>
      </c>
      <c r="B19" s="1">
        <v>36</v>
      </c>
      <c r="C19" s="1">
        <v>2</v>
      </c>
      <c r="D19" s="1">
        <v>36</v>
      </c>
      <c r="E19" s="1">
        <v>7</v>
      </c>
      <c r="F19" s="1">
        <v>36</v>
      </c>
      <c r="G19" s="1">
        <v>6</v>
      </c>
      <c r="H19" s="1">
        <v>36</v>
      </c>
      <c r="I19" s="1">
        <v>16</v>
      </c>
      <c r="J19" s="1">
        <v>36</v>
      </c>
      <c r="K19" s="1">
        <v>0</v>
      </c>
      <c r="L19" s="1">
        <v>24</v>
      </c>
      <c r="M19" s="1">
        <v>2</v>
      </c>
      <c r="N19" s="1">
        <v>18</v>
      </c>
      <c r="O19" s="5">
        <v>7</v>
      </c>
      <c r="P19" s="9">
        <f t="shared" si="1"/>
        <v>70</v>
      </c>
    </row>
    <row r="20" spans="1:16" x14ac:dyDescent="0.2">
      <c r="A20" s="1" t="s">
        <v>36</v>
      </c>
      <c r="B20" s="1">
        <v>36</v>
      </c>
      <c r="C20" s="1">
        <v>21</v>
      </c>
      <c r="D20" s="1">
        <v>54</v>
      </c>
      <c r="E20" s="1">
        <v>15</v>
      </c>
      <c r="F20" s="1">
        <v>60</v>
      </c>
      <c r="G20" s="1">
        <v>12</v>
      </c>
      <c r="H20" s="1">
        <v>60</v>
      </c>
      <c r="I20" s="1">
        <v>27</v>
      </c>
      <c r="J20" s="1">
        <v>66</v>
      </c>
      <c r="K20" s="1">
        <v>11</v>
      </c>
      <c r="L20" s="1">
        <v>48</v>
      </c>
      <c r="M20" s="1">
        <v>13</v>
      </c>
      <c r="N20" s="1">
        <v>36</v>
      </c>
      <c r="O20" s="5">
        <v>11</v>
      </c>
      <c r="P20" s="9">
        <f t="shared" si="1"/>
        <v>158</v>
      </c>
    </row>
    <row r="21" spans="1:16" x14ac:dyDescent="0.2">
      <c r="A21" s="1" t="s">
        <v>48</v>
      </c>
      <c r="B21" s="1">
        <v>18</v>
      </c>
      <c r="C21" s="1">
        <v>10</v>
      </c>
      <c r="D21" s="1">
        <v>18</v>
      </c>
      <c r="E21" s="1">
        <v>1</v>
      </c>
      <c r="F21" s="1">
        <v>18</v>
      </c>
      <c r="G21" s="1">
        <v>9</v>
      </c>
      <c r="H21" s="1">
        <v>18</v>
      </c>
      <c r="I21" s="1">
        <v>9</v>
      </c>
      <c r="J21" s="1">
        <v>24</v>
      </c>
      <c r="K21" s="1">
        <v>2</v>
      </c>
      <c r="L21" s="1">
        <v>12</v>
      </c>
      <c r="M21" s="1">
        <v>2</v>
      </c>
      <c r="N21" s="1">
        <v>12</v>
      </c>
      <c r="O21" s="5">
        <v>4</v>
      </c>
      <c r="P21" s="9">
        <f t="shared" si="1"/>
        <v>46</v>
      </c>
    </row>
    <row r="22" spans="1:16" x14ac:dyDescent="0.2">
      <c r="A22" s="1" t="s">
        <v>49</v>
      </c>
      <c r="B22" s="1">
        <v>24</v>
      </c>
      <c r="C22" s="1">
        <v>11</v>
      </c>
      <c r="D22" s="1">
        <v>24</v>
      </c>
      <c r="E22" s="1">
        <v>11</v>
      </c>
      <c r="F22" s="1">
        <v>24</v>
      </c>
      <c r="G22" s="1">
        <v>12</v>
      </c>
      <c r="H22" s="1">
        <v>24</v>
      </c>
      <c r="I22" s="1">
        <v>16</v>
      </c>
      <c r="J22" s="1">
        <v>24</v>
      </c>
      <c r="K22" s="1">
        <v>0</v>
      </c>
      <c r="L22" s="1">
        <v>18</v>
      </c>
      <c r="M22" s="1">
        <v>12</v>
      </c>
      <c r="N22" s="1">
        <v>18</v>
      </c>
      <c r="O22" s="5">
        <v>8</v>
      </c>
      <c r="P22" s="9">
        <f t="shared" si="1"/>
        <v>82</v>
      </c>
    </row>
    <row r="23" spans="1:16" ht="13.5" customHeight="1" x14ac:dyDescent="0.2">
      <c r="A23" s="1" t="s">
        <v>50</v>
      </c>
      <c r="B23" s="1">
        <v>12</v>
      </c>
      <c r="C23" s="1">
        <v>6</v>
      </c>
      <c r="D23" s="1">
        <v>12</v>
      </c>
      <c r="E23" s="1">
        <v>5</v>
      </c>
      <c r="F23" s="1">
        <v>15</v>
      </c>
      <c r="G23" s="13">
        <v>6</v>
      </c>
      <c r="H23" s="1">
        <v>12</v>
      </c>
      <c r="I23" s="1">
        <v>7</v>
      </c>
      <c r="J23" s="1">
        <v>18</v>
      </c>
      <c r="K23" s="1">
        <v>1</v>
      </c>
      <c r="L23" s="1">
        <v>9</v>
      </c>
      <c r="M23" s="1">
        <v>4</v>
      </c>
      <c r="N23" s="1">
        <v>9</v>
      </c>
      <c r="O23" s="5">
        <v>4</v>
      </c>
      <c r="P23" s="9">
        <f t="shared" si="1"/>
        <v>39</v>
      </c>
    </row>
    <row r="24" spans="1:16" hidden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9">
        <f t="shared" ref="P24:P33" si="2">+C24+E24+G24+I24+K24+M24+O24</f>
        <v>0</v>
      </c>
    </row>
    <row r="25" spans="1:16" x14ac:dyDescent="0.2">
      <c r="A25" s="1" t="s">
        <v>29</v>
      </c>
      <c r="B25" s="1">
        <v>21</v>
      </c>
      <c r="C25" s="1">
        <v>12</v>
      </c>
      <c r="D25" s="1">
        <v>21</v>
      </c>
      <c r="E25" s="1">
        <v>8</v>
      </c>
      <c r="F25" s="1">
        <v>24</v>
      </c>
      <c r="G25" s="1">
        <v>2</v>
      </c>
      <c r="H25" s="1">
        <v>24</v>
      </c>
      <c r="I25" s="1">
        <v>14</v>
      </c>
      <c r="J25" s="1">
        <v>24</v>
      </c>
      <c r="K25" s="1">
        <v>4</v>
      </c>
      <c r="L25" s="1">
        <v>18</v>
      </c>
      <c r="M25" s="1">
        <v>8</v>
      </c>
      <c r="N25" s="1">
        <v>18</v>
      </c>
      <c r="O25" s="5">
        <v>4</v>
      </c>
      <c r="P25" s="9">
        <f t="shared" si="2"/>
        <v>52</v>
      </c>
    </row>
    <row r="26" spans="1:16" x14ac:dyDescent="0.2">
      <c r="A26" s="1" t="s">
        <v>44</v>
      </c>
      <c r="B26" s="1">
        <v>60</v>
      </c>
      <c r="C26" s="1">
        <v>24</v>
      </c>
      <c r="D26" s="1">
        <v>54</v>
      </c>
      <c r="E26" s="1">
        <v>13</v>
      </c>
      <c r="F26" s="1">
        <v>66</v>
      </c>
      <c r="G26" s="1">
        <v>3</v>
      </c>
      <c r="H26" s="1">
        <v>66</v>
      </c>
      <c r="I26" s="1">
        <v>35</v>
      </c>
      <c r="J26" s="1">
        <v>66</v>
      </c>
      <c r="K26" s="1">
        <v>0</v>
      </c>
      <c r="L26" s="1">
        <v>54</v>
      </c>
      <c r="M26" s="1">
        <v>17</v>
      </c>
      <c r="N26" s="1">
        <v>48</v>
      </c>
      <c r="O26" s="5">
        <v>12</v>
      </c>
      <c r="P26" s="9">
        <v>0</v>
      </c>
    </row>
    <row r="27" spans="1:16" x14ac:dyDescent="0.2">
      <c r="A27" s="1" t="s">
        <v>37</v>
      </c>
      <c r="B27" s="1">
        <v>30</v>
      </c>
      <c r="C27" s="1">
        <v>3</v>
      </c>
      <c r="D27" s="1">
        <v>30</v>
      </c>
      <c r="E27" s="1">
        <v>4</v>
      </c>
      <c r="F27" s="1">
        <v>30</v>
      </c>
      <c r="G27" s="1">
        <v>0</v>
      </c>
      <c r="H27" s="1">
        <v>30</v>
      </c>
      <c r="I27" s="1">
        <v>18</v>
      </c>
      <c r="J27" s="1">
        <v>24</v>
      </c>
      <c r="K27" s="1">
        <v>0</v>
      </c>
      <c r="L27" s="1">
        <v>18</v>
      </c>
      <c r="M27" s="1">
        <v>0</v>
      </c>
      <c r="N27" s="1">
        <v>18</v>
      </c>
      <c r="O27" s="5">
        <v>5</v>
      </c>
      <c r="P27" s="9">
        <f t="shared" si="2"/>
        <v>30</v>
      </c>
    </row>
    <row r="28" spans="1:16" x14ac:dyDescent="0.2">
      <c r="A28" s="1" t="s">
        <v>51</v>
      </c>
      <c r="B28" s="1">
        <v>18</v>
      </c>
      <c r="C28" s="1">
        <v>13</v>
      </c>
      <c r="D28" s="1">
        <v>18</v>
      </c>
      <c r="E28" s="1">
        <v>7</v>
      </c>
      <c r="F28" s="1">
        <v>18</v>
      </c>
      <c r="G28" s="1">
        <v>8</v>
      </c>
      <c r="H28" s="1">
        <v>18</v>
      </c>
      <c r="I28" s="1">
        <v>11</v>
      </c>
      <c r="J28" s="1">
        <v>18</v>
      </c>
      <c r="K28" s="1">
        <v>6</v>
      </c>
      <c r="L28" s="1">
        <v>18</v>
      </c>
      <c r="M28" s="1">
        <v>13</v>
      </c>
      <c r="N28" s="1">
        <v>18</v>
      </c>
      <c r="O28" s="5">
        <v>11</v>
      </c>
      <c r="P28" s="9">
        <f t="shared" si="2"/>
        <v>69</v>
      </c>
    </row>
    <row r="29" spans="1:16" x14ac:dyDescent="0.2">
      <c r="A29" s="1" t="s">
        <v>8</v>
      </c>
      <c r="B29" s="1">
        <v>24</v>
      </c>
      <c r="C29" s="1">
        <v>2</v>
      </c>
      <c r="D29" s="1">
        <v>24</v>
      </c>
      <c r="E29" s="1">
        <v>6</v>
      </c>
      <c r="F29" s="1">
        <v>30</v>
      </c>
      <c r="G29" s="1">
        <v>3</v>
      </c>
      <c r="H29" s="1">
        <v>30</v>
      </c>
      <c r="I29" s="1">
        <v>8</v>
      </c>
      <c r="J29" s="1">
        <v>30</v>
      </c>
      <c r="K29" s="1">
        <v>0</v>
      </c>
      <c r="L29" s="1">
        <v>24</v>
      </c>
      <c r="M29" s="1">
        <v>0</v>
      </c>
      <c r="N29" s="1">
        <v>24</v>
      </c>
      <c r="O29" s="1">
        <v>10</v>
      </c>
      <c r="P29" s="9">
        <f t="shared" si="2"/>
        <v>29</v>
      </c>
    </row>
    <row r="30" spans="1:16" x14ac:dyDescent="0.2">
      <c r="A30" s="1" t="s">
        <v>38</v>
      </c>
      <c r="B30" s="1">
        <v>60</v>
      </c>
      <c r="C30" s="1">
        <v>24</v>
      </c>
      <c r="D30" s="1">
        <v>54</v>
      </c>
      <c r="E30" s="1">
        <v>12</v>
      </c>
      <c r="F30" s="1">
        <v>66</v>
      </c>
      <c r="G30" s="1">
        <v>8</v>
      </c>
      <c r="H30" s="1">
        <v>60</v>
      </c>
      <c r="I30" s="5">
        <v>23</v>
      </c>
      <c r="J30" s="1">
        <v>66</v>
      </c>
      <c r="K30" s="1">
        <v>0</v>
      </c>
      <c r="L30" s="1">
        <v>42</v>
      </c>
      <c r="M30" s="1">
        <v>9</v>
      </c>
      <c r="N30" s="1">
        <v>42</v>
      </c>
      <c r="O30" s="1">
        <v>19</v>
      </c>
      <c r="P30" s="9">
        <f t="shared" si="2"/>
        <v>95</v>
      </c>
    </row>
    <row r="31" spans="1:16" x14ac:dyDescent="0.2">
      <c r="A31" s="8" t="s">
        <v>39</v>
      </c>
      <c r="B31" s="1">
        <v>12</v>
      </c>
      <c r="C31" s="1">
        <v>16</v>
      </c>
      <c r="D31" s="1">
        <v>12</v>
      </c>
      <c r="E31" s="1">
        <v>2</v>
      </c>
      <c r="F31" s="1">
        <v>24</v>
      </c>
      <c r="G31" s="1">
        <v>14</v>
      </c>
      <c r="H31" s="1">
        <v>36</v>
      </c>
      <c r="I31" s="1">
        <v>14</v>
      </c>
      <c r="J31" s="1">
        <v>24</v>
      </c>
      <c r="K31" s="1">
        <v>2</v>
      </c>
      <c r="L31" s="1">
        <v>12</v>
      </c>
      <c r="M31" s="1">
        <v>9</v>
      </c>
      <c r="N31" s="1">
        <v>12</v>
      </c>
      <c r="O31" s="1">
        <v>0</v>
      </c>
      <c r="P31" s="9">
        <f t="shared" si="2"/>
        <v>57</v>
      </c>
    </row>
    <row r="32" spans="1:16" x14ac:dyDescent="0.2">
      <c r="A32" s="1" t="s">
        <v>52</v>
      </c>
      <c r="B32" s="1">
        <v>30</v>
      </c>
      <c r="C32" s="1">
        <v>2</v>
      </c>
      <c r="D32" s="1">
        <v>24</v>
      </c>
      <c r="E32" s="1">
        <v>4</v>
      </c>
      <c r="F32" s="1">
        <v>36</v>
      </c>
      <c r="G32" s="1">
        <v>4</v>
      </c>
      <c r="H32" s="1">
        <v>18</v>
      </c>
      <c r="I32" s="1">
        <v>16</v>
      </c>
      <c r="J32" s="1">
        <v>30</v>
      </c>
      <c r="K32" s="1">
        <v>12</v>
      </c>
      <c r="L32" s="1">
        <v>24</v>
      </c>
      <c r="M32" s="1">
        <v>6</v>
      </c>
      <c r="N32" s="1">
        <v>12</v>
      </c>
      <c r="O32" s="1">
        <v>8</v>
      </c>
      <c r="P32" s="9">
        <f t="shared" si="2"/>
        <v>52</v>
      </c>
    </row>
    <row r="33" spans="1:16" x14ac:dyDescent="0.2">
      <c r="A33" s="1" t="s">
        <v>54</v>
      </c>
      <c r="B33" s="1"/>
      <c r="C33" s="1"/>
      <c r="D33" s="1"/>
      <c r="E33" s="1"/>
      <c r="F33" s="1">
        <v>12</v>
      </c>
      <c r="G33" s="1">
        <v>2</v>
      </c>
      <c r="H33" s="1">
        <v>12</v>
      </c>
      <c r="I33" s="1">
        <v>5</v>
      </c>
      <c r="J33" s="1">
        <v>12</v>
      </c>
      <c r="K33" s="1">
        <v>1</v>
      </c>
      <c r="L33" s="1"/>
      <c r="M33" s="1"/>
      <c r="N33" s="1"/>
      <c r="O33" s="1"/>
      <c r="P33" s="9">
        <f t="shared" si="2"/>
        <v>8</v>
      </c>
    </row>
    <row r="34" spans="1:16" x14ac:dyDescent="0.2">
      <c r="A34" s="8" t="s">
        <v>55</v>
      </c>
      <c r="B34" s="1"/>
      <c r="C34" s="1"/>
      <c r="D34" s="1"/>
      <c r="E34" s="1"/>
      <c r="F34" s="1">
        <v>12</v>
      </c>
      <c r="G34" s="1">
        <v>3</v>
      </c>
      <c r="H34" s="1">
        <v>12</v>
      </c>
      <c r="I34" s="1">
        <v>8</v>
      </c>
      <c r="J34" s="1">
        <v>12</v>
      </c>
      <c r="K34" s="1">
        <v>8</v>
      </c>
      <c r="L34" s="1"/>
      <c r="M34" s="1"/>
      <c r="N34" s="1"/>
      <c r="O34" s="1"/>
      <c r="P34" s="9">
        <f t="shared" ref="P34:P36" si="3">+C34+E34+G34+I34+K34+M34+O34</f>
        <v>19</v>
      </c>
    </row>
    <row r="35" spans="1:16" x14ac:dyDescent="0.2">
      <c r="A35" s="8" t="s">
        <v>56</v>
      </c>
      <c r="B35" s="1"/>
      <c r="C35" s="1"/>
      <c r="D35" s="1"/>
      <c r="E35" s="1"/>
      <c r="F35" s="1">
        <v>12</v>
      </c>
      <c r="G35" s="1">
        <v>1</v>
      </c>
      <c r="H35" s="1">
        <v>12</v>
      </c>
      <c r="I35" s="1">
        <v>4</v>
      </c>
      <c r="J35" s="1">
        <v>12</v>
      </c>
      <c r="K35" s="1">
        <v>8</v>
      </c>
      <c r="L35" s="1"/>
      <c r="M35" s="1"/>
      <c r="N35" s="1"/>
      <c r="O35" s="1"/>
      <c r="P35" s="9">
        <f t="shared" si="3"/>
        <v>13</v>
      </c>
    </row>
    <row r="36" spans="1:16" x14ac:dyDescent="0.2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>
        <f t="shared" si="3"/>
        <v>0</v>
      </c>
    </row>
    <row r="37" spans="1:16" x14ac:dyDescent="0.2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>
        <f>+C37+E37+G37+I37+K37+M37+O37</f>
        <v>0</v>
      </c>
    </row>
    <row r="38" spans="1:16" x14ac:dyDescent="0.2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>
        <f>+C38+E38+G38+I38+K38+M38+O38</f>
        <v>0</v>
      </c>
    </row>
    <row r="39" spans="1:16" x14ac:dyDescent="0.2">
      <c r="A39" s="8"/>
      <c r="B39" s="1"/>
      <c r="C39" s="1"/>
      <c r="D39" s="1"/>
      <c r="E39" s="1"/>
      <c r="F39" s="1"/>
      <c r="G39" s="1"/>
      <c r="H39" s="1"/>
      <c r="I39" s="1"/>
      <c r="J39" s="1"/>
      <c r="K39" s="1" t="s">
        <v>47</v>
      </c>
      <c r="L39" s="1"/>
      <c r="M39" s="1"/>
      <c r="N39" s="1"/>
      <c r="O39" s="1"/>
      <c r="P39" s="9" t="e">
        <f>+C39+E39+G39+I39+K39+M39+O39</f>
        <v>#VALUE!</v>
      </c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>
        <f>+C40+E40+G40+I40+K40+M40+O40</f>
        <v>0</v>
      </c>
    </row>
    <row r="41" spans="1:16" x14ac:dyDescent="0.2">
      <c r="A41" s="2" t="s">
        <v>24</v>
      </c>
      <c r="B41" s="9">
        <f t="shared" ref="B41:P41" si="4">SUM(B16:B40)</f>
        <v>402</v>
      </c>
      <c r="C41" s="9">
        <f t="shared" si="4"/>
        <v>153</v>
      </c>
      <c r="D41" s="9">
        <f t="shared" si="4"/>
        <v>402</v>
      </c>
      <c r="E41" s="9">
        <f t="shared" si="4"/>
        <v>99</v>
      </c>
      <c r="F41" s="9">
        <f t="shared" si="4"/>
        <v>507</v>
      </c>
      <c r="G41" s="9">
        <f t="shared" si="4"/>
        <v>97</v>
      </c>
      <c r="H41" s="9">
        <f>SUM(H16:H40)</f>
        <v>492</v>
      </c>
      <c r="I41" s="9">
        <f t="shared" si="4"/>
        <v>245</v>
      </c>
      <c r="J41" s="9">
        <f t="shared" si="4"/>
        <v>510</v>
      </c>
      <c r="K41" s="9">
        <f t="shared" si="4"/>
        <v>58</v>
      </c>
      <c r="L41" s="9">
        <f t="shared" si="4"/>
        <v>336</v>
      </c>
      <c r="M41" s="9">
        <f t="shared" si="4"/>
        <v>97</v>
      </c>
      <c r="N41" s="9">
        <f t="shared" si="4"/>
        <v>300</v>
      </c>
      <c r="O41" s="9">
        <f t="shared" si="4"/>
        <v>107</v>
      </c>
      <c r="P41" s="9" t="e">
        <f t="shared" si="4"/>
        <v>#VALUE!</v>
      </c>
    </row>
    <row r="42" spans="1:16" x14ac:dyDescent="0.2">
      <c r="A42" s="2"/>
      <c r="B42" s="5"/>
      <c r="C42" s="12"/>
      <c r="D42" s="5"/>
      <c r="E42" s="12"/>
      <c r="F42" s="5"/>
      <c r="G42" s="12"/>
      <c r="H42" s="5"/>
      <c r="I42" s="12"/>
      <c r="J42" s="5"/>
      <c r="K42" s="12"/>
      <c r="L42" s="5"/>
      <c r="M42" s="12"/>
      <c r="N42" s="5"/>
      <c r="O42" s="12"/>
      <c r="P42" s="1"/>
    </row>
    <row r="43" spans="1:16" x14ac:dyDescent="0.2">
      <c r="A43" s="2"/>
      <c r="B43" s="5"/>
      <c r="C43" s="12"/>
      <c r="D43" s="5"/>
      <c r="E43" s="12"/>
      <c r="F43" s="5"/>
      <c r="G43" s="12"/>
      <c r="H43" s="5"/>
      <c r="I43" s="12"/>
      <c r="J43" s="5"/>
      <c r="K43" s="12"/>
      <c r="L43" s="5"/>
      <c r="M43" s="12"/>
      <c r="N43" s="5"/>
      <c r="O43" s="12"/>
      <c r="P43" s="1"/>
    </row>
    <row r="44" spans="1:16" x14ac:dyDescent="0.2">
      <c r="A44" s="1"/>
      <c r="B44" s="14" t="s">
        <v>19</v>
      </c>
      <c r="C44" s="15"/>
      <c r="D44" s="14" t="s">
        <v>13</v>
      </c>
      <c r="E44" s="15"/>
      <c r="F44" s="14" t="s">
        <v>14</v>
      </c>
      <c r="G44" s="15"/>
      <c r="H44" s="14" t="s">
        <v>15</v>
      </c>
      <c r="I44" s="15"/>
      <c r="J44" s="14" t="s">
        <v>16</v>
      </c>
      <c r="K44" s="15"/>
      <c r="L44" s="14" t="s">
        <v>17</v>
      </c>
      <c r="M44" s="15"/>
      <c r="N44" s="14" t="s">
        <v>18</v>
      </c>
      <c r="O44" s="15"/>
      <c r="P44" s="10" t="s">
        <v>25</v>
      </c>
    </row>
    <row r="45" spans="1:16" x14ac:dyDescent="0.2">
      <c r="A45" s="2"/>
      <c r="B45" s="2" t="s">
        <v>20</v>
      </c>
      <c r="C45" s="2" t="s">
        <v>21</v>
      </c>
      <c r="D45" s="2" t="s">
        <v>20</v>
      </c>
      <c r="E45" s="2" t="s">
        <v>21</v>
      </c>
      <c r="F45" s="2" t="s">
        <v>20</v>
      </c>
      <c r="G45" s="2" t="s">
        <v>21</v>
      </c>
      <c r="H45" s="2" t="s">
        <v>20</v>
      </c>
      <c r="I45" s="2" t="s">
        <v>21</v>
      </c>
      <c r="J45" s="2" t="s">
        <v>20</v>
      </c>
      <c r="K45" s="2" t="s">
        <v>21</v>
      </c>
      <c r="L45" s="2" t="s">
        <v>20</v>
      </c>
      <c r="M45" s="2" t="s">
        <v>21</v>
      </c>
      <c r="N45" s="2" t="s">
        <v>20</v>
      </c>
      <c r="O45" s="2" t="s">
        <v>21</v>
      </c>
      <c r="P45" s="9"/>
    </row>
    <row r="46" spans="1:16" ht="15" x14ac:dyDescent="0.25">
      <c r="A46" s="6" t="s">
        <v>9</v>
      </c>
      <c r="B46" s="1"/>
      <c r="C46" s="1"/>
      <c r="D46" s="1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9"/>
    </row>
    <row r="47" spans="1:16" x14ac:dyDescent="0.2">
      <c r="A47" s="1" t="s">
        <v>10</v>
      </c>
      <c r="C47" s="1"/>
      <c r="D47" s="1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9">
        <f t="shared" ref="P47:P57" si="5">+C47+E47+G47+I47+K47+M47+O47</f>
        <v>0</v>
      </c>
    </row>
    <row r="48" spans="1:16" x14ac:dyDescent="0.2">
      <c r="A48" s="1" t="s">
        <v>45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>
        <f t="shared" si="5"/>
        <v>0</v>
      </c>
    </row>
    <row r="49" spans="1:16" x14ac:dyDescent="0.2">
      <c r="A49" s="1" t="s">
        <v>46</v>
      </c>
      <c r="B49" s="1"/>
      <c r="C49" s="1"/>
      <c r="D49" s="1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9">
        <f t="shared" si="5"/>
        <v>0</v>
      </c>
    </row>
    <row r="50" spans="1:16" ht="15" customHeight="1" x14ac:dyDescent="0.2">
      <c r="A50" s="1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>
        <f t="shared" si="5"/>
        <v>0</v>
      </c>
    </row>
    <row r="51" spans="1:16" s="4" customFormat="1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>
        <f t="shared" si="5"/>
        <v>0</v>
      </c>
    </row>
    <row r="52" spans="1:1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9">
        <f t="shared" si="5"/>
        <v>0</v>
      </c>
    </row>
    <row r="53" spans="1:16" ht="15.75" customHeight="1" x14ac:dyDescent="0.2">
      <c r="A53" s="2" t="s">
        <v>11</v>
      </c>
      <c r="B53" s="1"/>
      <c r="C53" s="1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9"/>
    </row>
    <row r="54" spans="1:16" ht="15" customHeight="1" x14ac:dyDescent="0.2">
      <c r="A54" s="7" t="s">
        <v>40</v>
      </c>
      <c r="B54" s="1">
        <v>9</v>
      </c>
      <c r="C54" s="1">
        <v>4</v>
      </c>
      <c r="D54" s="1">
        <v>9</v>
      </c>
      <c r="E54" s="1">
        <v>3</v>
      </c>
      <c r="F54" s="1">
        <v>9</v>
      </c>
      <c r="G54" s="1">
        <v>0</v>
      </c>
      <c r="H54" s="1">
        <v>9</v>
      </c>
      <c r="I54" s="5">
        <v>5</v>
      </c>
      <c r="J54" s="1">
        <v>9</v>
      </c>
      <c r="K54" s="1">
        <v>4</v>
      </c>
      <c r="L54" s="1">
        <v>9</v>
      </c>
      <c r="M54" s="1">
        <v>7</v>
      </c>
      <c r="N54" s="1">
        <v>9</v>
      </c>
      <c r="O54" s="1">
        <v>5</v>
      </c>
      <c r="P54" s="9">
        <f t="shared" si="5"/>
        <v>28</v>
      </c>
    </row>
    <row r="55" spans="1:16" ht="16.5" customHeight="1" x14ac:dyDescent="0.2">
      <c r="A55" s="8"/>
      <c r="B55" s="1"/>
      <c r="C55" s="1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9">
        <f t="shared" si="5"/>
        <v>0</v>
      </c>
    </row>
    <row r="56" spans="1:16" ht="16.5" customHeight="1" x14ac:dyDescent="0.2">
      <c r="A56" s="8"/>
      <c r="B56" s="1"/>
      <c r="C56" s="1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9">
        <f t="shared" si="5"/>
        <v>0</v>
      </c>
    </row>
    <row r="57" spans="1:16" ht="15.75" customHeight="1" x14ac:dyDescent="0.2">
      <c r="A57" s="7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9">
        <f t="shared" si="5"/>
        <v>0</v>
      </c>
    </row>
    <row r="58" spans="1:16" ht="18" customHeight="1" x14ac:dyDescent="0.25">
      <c r="A58" s="6" t="s">
        <v>12</v>
      </c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9">
        <f t="shared" ref="P58:P63" si="6">+C58+E58+G58+I58+K58+M58+O58</f>
        <v>0</v>
      </c>
    </row>
    <row r="59" spans="1:16" x14ac:dyDescent="0.2">
      <c r="A59" s="1" t="s">
        <v>41</v>
      </c>
      <c r="B59" s="1">
        <v>120</v>
      </c>
      <c r="C59" s="1">
        <v>76</v>
      </c>
      <c r="D59" s="1">
        <v>180</v>
      </c>
      <c r="E59" s="1">
        <v>20</v>
      </c>
      <c r="F59" s="1">
        <v>240</v>
      </c>
      <c r="G59" s="1">
        <v>89</v>
      </c>
      <c r="H59" s="1">
        <v>240</v>
      </c>
      <c r="I59" s="5">
        <v>166</v>
      </c>
      <c r="J59" s="1">
        <v>240</v>
      </c>
      <c r="K59" s="1">
        <v>64</v>
      </c>
      <c r="L59" s="1">
        <v>120</v>
      </c>
      <c r="M59" s="1">
        <v>22</v>
      </c>
      <c r="N59" s="1">
        <v>120</v>
      </c>
      <c r="O59" s="1">
        <v>31</v>
      </c>
      <c r="P59" s="9">
        <f t="shared" si="6"/>
        <v>468</v>
      </c>
    </row>
    <row r="60" spans="1:16" x14ac:dyDescent="0.2">
      <c r="A60" s="1" t="s">
        <v>42</v>
      </c>
      <c r="B60" s="1">
        <v>120</v>
      </c>
      <c r="C60" s="1">
        <v>61</v>
      </c>
      <c r="D60" s="1">
        <v>180</v>
      </c>
      <c r="E60" s="1">
        <v>32</v>
      </c>
      <c r="F60" s="1">
        <v>240</v>
      </c>
      <c r="G60" s="1">
        <v>97</v>
      </c>
      <c r="H60" s="1">
        <v>240</v>
      </c>
      <c r="I60" s="5">
        <v>197</v>
      </c>
      <c r="J60" s="1">
        <v>240</v>
      </c>
      <c r="K60" s="1">
        <v>16</v>
      </c>
      <c r="L60" s="1">
        <v>120</v>
      </c>
      <c r="M60" s="1">
        <v>31</v>
      </c>
      <c r="N60" s="1">
        <v>120</v>
      </c>
      <c r="O60" s="1">
        <v>28</v>
      </c>
      <c r="P60" s="9">
        <f t="shared" si="6"/>
        <v>462</v>
      </c>
    </row>
    <row r="61" spans="1:16" x14ac:dyDescent="0.2">
      <c r="A61" s="1" t="s">
        <v>43</v>
      </c>
      <c r="B61" s="1">
        <v>120</v>
      </c>
      <c r="C61" s="1">
        <v>100</v>
      </c>
      <c r="D61" s="1">
        <v>120</v>
      </c>
      <c r="E61" s="1">
        <v>61</v>
      </c>
      <c r="F61" s="1">
        <v>120</v>
      </c>
      <c r="G61" s="1">
        <v>0</v>
      </c>
      <c r="H61" s="1">
        <v>120</v>
      </c>
      <c r="I61" s="5">
        <v>77</v>
      </c>
      <c r="J61" s="1">
        <v>120</v>
      </c>
      <c r="K61" s="1">
        <v>22</v>
      </c>
      <c r="L61" s="1">
        <v>120</v>
      </c>
      <c r="M61" s="1">
        <v>92</v>
      </c>
      <c r="N61" s="1">
        <v>120</v>
      </c>
      <c r="O61" s="1">
        <v>46</v>
      </c>
      <c r="P61" s="9">
        <f t="shared" si="6"/>
        <v>398</v>
      </c>
    </row>
    <row r="62" spans="1:16" x14ac:dyDescent="0.2">
      <c r="A62" s="1" t="s">
        <v>53</v>
      </c>
      <c r="B62" s="1">
        <v>180</v>
      </c>
      <c r="C62" s="1">
        <v>82</v>
      </c>
      <c r="D62" s="1">
        <v>120</v>
      </c>
      <c r="E62" s="1">
        <v>0</v>
      </c>
      <c r="F62" s="1">
        <v>240</v>
      </c>
      <c r="G62" s="1">
        <v>86</v>
      </c>
      <c r="H62" s="1">
        <v>180</v>
      </c>
      <c r="I62" s="5">
        <v>146</v>
      </c>
      <c r="J62" s="1">
        <v>120</v>
      </c>
      <c r="K62" s="1">
        <v>0</v>
      </c>
      <c r="L62" s="1">
        <v>120</v>
      </c>
      <c r="M62" s="1">
        <v>38</v>
      </c>
      <c r="N62" s="1">
        <v>120</v>
      </c>
      <c r="O62" s="1">
        <v>51</v>
      </c>
      <c r="P62" s="9">
        <f t="shared" si="6"/>
        <v>403</v>
      </c>
    </row>
    <row r="63" spans="1:16" x14ac:dyDescent="0.2">
      <c r="A63" s="8"/>
      <c r="B63" s="1"/>
      <c r="C63" s="1" t="s">
        <v>47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9" t="e">
        <f t="shared" si="6"/>
        <v>#VALUE!</v>
      </c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9"/>
    </row>
    <row r="65" spans="1:16" x14ac:dyDescent="0.2">
      <c r="A65" s="2" t="s">
        <v>30</v>
      </c>
      <c r="B65" s="16">
        <v>426</v>
      </c>
      <c r="C65" s="17"/>
      <c r="D65" s="16">
        <v>402</v>
      </c>
      <c r="E65" s="17"/>
      <c r="F65" s="16">
        <v>507</v>
      </c>
      <c r="G65" s="17"/>
      <c r="H65" s="16">
        <v>492</v>
      </c>
      <c r="I65" s="17"/>
      <c r="J65" s="16">
        <v>510</v>
      </c>
      <c r="K65" s="17"/>
      <c r="L65" s="16">
        <v>336</v>
      </c>
      <c r="M65" s="17"/>
      <c r="N65" s="16">
        <v>300</v>
      </c>
      <c r="O65" s="17"/>
      <c r="P65" s="9">
        <f>SUM(B65:O65)</f>
        <v>2973</v>
      </c>
    </row>
    <row r="66" spans="1:16" x14ac:dyDescent="0.2">
      <c r="A66" s="2" t="s">
        <v>31</v>
      </c>
      <c r="B66" s="16">
        <v>260</v>
      </c>
      <c r="C66" s="17"/>
      <c r="D66" s="16">
        <v>298</v>
      </c>
      <c r="E66" s="17"/>
      <c r="F66" s="16">
        <v>384</v>
      </c>
      <c r="G66" s="17"/>
      <c r="H66" s="16">
        <v>230</v>
      </c>
      <c r="I66" s="17"/>
      <c r="J66" s="16">
        <v>448</v>
      </c>
      <c r="K66" s="17"/>
      <c r="L66" s="16">
        <v>226</v>
      </c>
      <c r="M66" s="17"/>
      <c r="N66" s="16">
        <v>186</v>
      </c>
      <c r="O66" s="17"/>
      <c r="P66" s="9">
        <f>SUM(B66:O66)</f>
        <v>2032</v>
      </c>
    </row>
    <row r="67" spans="1:16" x14ac:dyDescent="0.2">
      <c r="A67" s="2" t="s">
        <v>32</v>
      </c>
      <c r="B67" s="18">
        <f>B65-B66</f>
        <v>166</v>
      </c>
      <c r="C67" s="18"/>
      <c r="D67" s="18">
        <f t="shared" ref="D67" si="7">D65-D66</f>
        <v>104</v>
      </c>
      <c r="E67" s="18"/>
      <c r="F67" s="18">
        <f t="shared" ref="F67" si="8">F65-F66</f>
        <v>123</v>
      </c>
      <c r="G67" s="18"/>
      <c r="H67" s="18">
        <f t="shared" ref="H67" si="9">H65-H66</f>
        <v>262</v>
      </c>
      <c r="I67" s="18"/>
      <c r="J67" s="18">
        <f t="shared" ref="J67" si="10">J65-J66</f>
        <v>62</v>
      </c>
      <c r="K67" s="18"/>
      <c r="L67" s="18">
        <f t="shared" ref="L67" si="11">L65-L66</f>
        <v>110</v>
      </c>
      <c r="M67" s="18"/>
      <c r="N67" s="18">
        <f t="shared" ref="N67" si="12">N65-N66</f>
        <v>114</v>
      </c>
      <c r="O67" s="18"/>
      <c r="P67" s="11">
        <f>SUM(B67:O67)</f>
        <v>941</v>
      </c>
    </row>
    <row r="68" spans="1:16" x14ac:dyDescent="0.2">
      <c r="A68" s="2" t="s">
        <v>34</v>
      </c>
      <c r="B68" s="11"/>
      <c r="C68" s="11">
        <f>C41</f>
        <v>153</v>
      </c>
      <c r="D68" s="11"/>
      <c r="E68" s="11">
        <f>E41</f>
        <v>99</v>
      </c>
      <c r="F68" s="11"/>
      <c r="G68" s="11">
        <f>G41</f>
        <v>97</v>
      </c>
      <c r="H68" s="11"/>
      <c r="I68" s="11">
        <f>I41</f>
        <v>245</v>
      </c>
      <c r="J68" s="11"/>
      <c r="K68" s="11">
        <f>K41</f>
        <v>58</v>
      </c>
      <c r="L68" s="11"/>
      <c r="M68" s="11">
        <f>M41</f>
        <v>97</v>
      </c>
      <c r="N68" s="11"/>
      <c r="O68" s="11">
        <f>O41</f>
        <v>107</v>
      </c>
      <c r="P68" s="11">
        <f>SUM(B68:O68)</f>
        <v>856</v>
      </c>
    </row>
  </sheetData>
  <mergeCells count="50">
    <mergeCell ref="N14:O14"/>
    <mergeCell ref="D14:E14"/>
    <mergeCell ref="F14:G14"/>
    <mergeCell ref="H14:I14"/>
    <mergeCell ref="J14:K14"/>
    <mergeCell ref="L14:M14"/>
    <mergeCell ref="N44:O44"/>
    <mergeCell ref="D66:E66"/>
    <mergeCell ref="F66:G66"/>
    <mergeCell ref="H66:I66"/>
    <mergeCell ref="J66:K66"/>
    <mergeCell ref="L66:M66"/>
    <mergeCell ref="J44:K44"/>
    <mergeCell ref="L44:M44"/>
    <mergeCell ref="D44:E44"/>
    <mergeCell ref="F44:G44"/>
    <mergeCell ref="H44:I44"/>
    <mergeCell ref="D67:E67"/>
    <mergeCell ref="N66:O66"/>
    <mergeCell ref="N67:O67"/>
    <mergeCell ref="N65:O65"/>
    <mergeCell ref="F67:G67"/>
    <mergeCell ref="H67:I67"/>
    <mergeCell ref="J67:K67"/>
    <mergeCell ref="L65:M65"/>
    <mergeCell ref="J65:K65"/>
    <mergeCell ref="L67:M67"/>
    <mergeCell ref="H65:I65"/>
    <mergeCell ref="F65:G65"/>
    <mergeCell ref="D65:E65"/>
    <mergeCell ref="N2:O2"/>
    <mergeCell ref="A1:P1"/>
    <mergeCell ref="D3:E3"/>
    <mergeCell ref="F3:G3"/>
    <mergeCell ref="H3:I3"/>
    <mergeCell ref="J3:K3"/>
    <mergeCell ref="N3:O3"/>
    <mergeCell ref="L3:M3"/>
    <mergeCell ref="B2:C2"/>
    <mergeCell ref="D2:E2"/>
    <mergeCell ref="F2:G2"/>
    <mergeCell ref="H2:I2"/>
    <mergeCell ref="J2:K2"/>
    <mergeCell ref="L2:M2"/>
    <mergeCell ref="B3:C3"/>
    <mergeCell ref="B44:C44"/>
    <mergeCell ref="B66:C66"/>
    <mergeCell ref="B67:C67"/>
    <mergeCell ref="B65:C65"/>
    <mergeCell ref="B14:C14"/>
  </mergeCells>
  <phoneticPr fontId="0" type="noConversion"/>
  <pageMargins left="0.7" right="0.7" top="0.75" bottom="0.75" header="0.3" footer="0.3"/>
  <pageSetup orientation="landscape" blackAndWhite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ryders lane</dc:creator>
  <cp:lastModifiedBy>brunswick donuts</cp:lastModifiedBy>
  <cp:lastPrinted>2025-05-11T14:24:13Z</cp:lastPrinted>
  <dcterms:created xsi:type="dcterms:W3CDTF">2002-09-20T23:30:26Z</dcterms:created>
  <dcterms:modified xsi:type="dcterms:W3CDTF">2025-12-29T16:02:02Z</dcterms:modified>
</cp:coreProperties>
</file>